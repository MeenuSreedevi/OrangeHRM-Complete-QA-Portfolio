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d35c5a2e7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155c4e833814e13"/>
    <x:sheet xmlns:r="http://schemas.openxmlformats.org/officeDocument/2006/relationships" name="Execution Log" sheetId="2" r:id="R52b4a7d3837742b1"/>
    <x:sheet xmlns:r="http://schemas.openxmlformats.org/officeDocument/2006/relationships" name="Defect Register" sheetId="3" r:id="Rb1915ab5cf1a4995"/>
    <x:sheet xmlns:r="http://schemas.openxmlformats.org/officeDocument/2006/relationships" name="Run Register" sheetId="4" r:id="Rd2cd685e0a2a4460"/>
    <x:sheet xmlns:r="http://schemas.openxmlformats.org/officeDocument/2006/relationships" name="SQL Fixture Checks" sheetId="5" r:id="R0f61a929b6b5414d"/>
    <x:sheet xmlns:r="http://schemas.openxmlformats.org/officeDocument/2006/relationships" name="Instructions" sheetId="6" r:id="R72a4e9b6e69d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02A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175CD3"/>
      </x:patternFill>
    </x:fill>
    <x:fill>
      <x:patternFill patternType="solid">
        <x:fgColor rgb="FFE5EA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af6262c274f4d" /><Relationship Type="http://schemas.openxmlformats.org/officeDocument/2006/relationships/theme" Target="/xl/theme/theme1.xml" Id="Recdc43b630ca4bc5" /><Relationship Type="http://schemas.openxmlformats.org/officeDocument/2006/relationships/sharedStrings" Target="/xl/sharedStrings.xml" Id="R864ef5942cf94076" /><Relationship Type="http://schemas.openxmlformats.org/officeDocument/2006/relationships/worksheet" Target="/xl/worksheets/sheet1.xml" Id="R9155c4e833814e13" /><Relationship Type="http://schemas.openxmlformats.org/officeDocument/2006/relationships/worksheet" Target="/xl/worksheets/sheet2.xml" Id="R52b4a7d3837742b1" /><Relationship Type="http://schemas.openxmlformats.org/officeDocument/2006/relationships/worksheet" Target="/xl/worksheets/sheet3.xml" Id="Rb1915ab5cf1a4995" /><Relationship Type="http://schemas.openxmlformats.org/officeDocument/2006/relationships/worksheet" Target="/xl/worksheets/sheet4.xml" Id="Rd2cd685e0a2a4460" /><Relationship Type="http://schemas.openxmlformats.org/officeDocument/2006/relationships/worksheet" Target="/xl/worksheets/sheet5.xml" Id="R0f61a929b6b5414d" /><Relationship Type="http://schemas.openxmlformats.org/officeDocument/2006/relationships/worksheet" Target="/xl/worksheets/sheet6.xml" Id="R72a4e9b6e69d4a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7" customHeight="1">
      <x:c r="A1" s="8" t="str">
        <x:v>ORANGEHRM | QA EXECUTION DASHBOARD</x:v>
      </x:c>
      <x:c r="B1" s="8"/>
      <x:c r="C1" s="8"/>
      <x:c r="D1" s="8"/>
      <x:c r="E1" s="8"/>
      <x:c r="F1" s="8"/>
      <x:c r="G1" s="8"/>
      <x:c r="H1" s="8"/>
    </x:row>
    <x:row r="2" ht="27" customHeight="1">
      <x:c r="A2" s="8"/>
      <x:c r="B2" s="8"/>
      <x:c r="C2" s="8"/>
      <x:c r="D2" s="8"/>
      <x:c r="E2" s="8"/>
      <x:c r="F2" s="8"/>
      <x:c r="G2" s="8"/>
      <x:c r="H2" s="8"/>
    </x:row>
    <x:row r="4">
      <x:c r="A4" s="11" t="str">
        <x:v>Metric</x:v>
      </x:c>
      <x:c r="B4" s="11" t="str">
        <x:v>Value</x:v>
      </x:c>
    </x:row>
    <x:row r="5" ht="23" customHeight="1">
      <x:c r="A5" t="str">
        <x:v>Planned entries</x:v>
      </x:c>
      <x:c r="B5" t="n">
        <x:f>COUNTA('Execution Log'!A2:A78)</x:f>
        <x:v>77</x:v>
      </x:c>
    </x:row>
    <x:row r="6" ht="23" customHeight="1">
      <x:c r="A6" t="str">
        <x:v>Pass</x:v>
      </x:c>
      <x:c r="B6" t="n">
        <x:f>COUNTIF('Execution Log'!F2:F78,"Pass")</x:f>
        <x:v>0</x:v>
      </x:c>
    </x:row>
    <x:row r="7" ht="23" customHeight="1">
      <x:c r="A7" t="str">
        <x:v>Fail</x:v>
      </x:c>
      <x:c r="B7" t="n">
        <x:f>COUNTIF('Execution Log'!F2:F78,"Fail")</x:f>
        <x:v>0</x:v>
      </x:c>
    </x:row>
    <x:row r="8" ht="23" customHeight="1">
      <x:c r="A8" t="str">
        <x:v>Blocked</x:v>
      </x:c>
      <x:c r="B8" t="n">
        <x:f>COUNTIF('Execution Log'!F2:F78,"Blocked")</x:f>
        <x:v>0</x:v>
      </x:c>
    </x:row>
    <x:row r="9" ht="23" customHeight="1">
      <x:c r="A9" t="str">
        <x:v>Not Applicable</x:v>
      </x:c>
      <x:c r="B9" t="n">
        <x:f>COUNTIF('Execution Log'!F2:F78,"Not Applicable")</x:f>
        <x:v>0</x:v>
      </x:c>
    </x:row>
    <x:row r="10" ht="23" customHeight="1">
      <x:c r="A10" t="str">
        <x:v>Not Executed</x:v>
      </x:c>
      <x:c r="B10" t="n">
        <x:f>COUNTIF('Execution Log'!F2:F78,"Not Executed")</x:f>
        <x:v>77</x:v>
      </x:c>
    </x:row>
    <x:row r="11" ht="23" customHeight="1">
      <x:c r="A11" t="str">
        <x:v>Execution coverage</x:v>
      </x:c>
      <x:c r="B11" s="14" t="n">
        <x:f>IFERROR((B6+B7+B8+B9)/B5,0)</x:f>
        <x:v>0</x:v>
      </x:c>
    </x:row>
    <x:row r="12" ht="23" customHeight="1">
      <x:c r="A12" t="str">
        <x:v>Pass rate, executed (excl. N/A)</x:v>
      </x:c>
      <x:c r="B12" s="14" t="n">
        <x:f>IFERROR(B6/(B6+B7),0)</x:f>
        <x:v>0</x:v>
      </x:c>
    </x:row>
    <x:row r="13" ht="23" customHeight="1">
      <x:c r="A13" t="str">
        <x:v>Logged defects</x:v>
      </x:c>
      <x:c r="B13" t="n">
        <x:f>COUNTA('Defect Register'!A2:A101)</x:f>
        <x:v>0</x:v>
      </x:c>
    </x:row>
    <x:row r="14" ht="23" customHeight="1">
      <x:c r="A14" t="str">
        <x:v>Open defects</x:v>
      </x:c>
      <x:c r="B14" t="n">
        <x:f>COUNTIF('Defect Register'!J2:J101,"Open")+COUNTIF('Defect Register'!J2:J101,"New")+COUNTIF('Defect Register'!J2:J101,"Reopened")</x:f>
        <x:v>0</x:v>
      </x:c>
    </x:row>
    <x:row r="16">
      <x:c r="A16" s="11" t="str">
        <x:v>Stream</x:v>
      </x:c>
      <x:c r="B16" s="11" t="str">
        <x:v>Planned</x:v>
      </x:c>
      <x:c r="C16" s="11" t="str">
        <x:v>Pass</x:v>
      </x:c>
      <x:c r="D16" s="11" t="str">
        <x:v>Fail</x:v>
      </x:c>
      <x:c r="E16" s="11" t="str">
        <x:v>Blocked</x:v>
      </x:c>
      <x:c r="F16" s="11" t="str">
        <x:v>N/A</x:v>
      </x:c>
      <x:c r="G16" s="11" t="str">
        <x:v>Not Executed</x:v>
      </x:c>
    </x:row>
    <x:row r="17">
      <x:c r="A17" t="str">
        <x:v>Manual</x:v>
      </x:c>
      <x:c r="B17" t="n">
        <x:f>COUNTIF('Execution Log'!$B$2:$B$78,A17)</x:f>
        <x:v>32</x:v>
      </x:c>
      <x:c r="C17" t="n">
        <x:f>COUNTIFS('Execution Log'!$B$2:$B$78,A17,'Execution Log'!$F$2:$F$78,"Pass")</x:f>
        <x:v>0</x:v>
      </x:c>
      <x:c r="D17" t="n">
        <x:f>COUNTIFS('Execution Log'!$B$2:$B$78,A17,'Execution Log'!$F$2:$F$78,"Fail")</x:f>
        <x:v>0</x:v>
      </x:c>
      <x:c r="E17" t="n">
        <x:f>COUNTIFS('Execution Log'!$B$2:$B$78,A17,'Execution Log'!$F$2:$F$78,"Blocked")</x:f>
        <x:v>0</x:v>
      </x:c>
      <x:c r="F17" t="n">
        <x:f>COUNTIFS('Execution Log'!$B$2:$B$78,A17,'Execution Log'!$F$2:$F$78,"Not Applicable")</x:f>
        <x:v>0</x:v>
      </x:c>
      <x:c r="G17" t="n">
        <x:f>COUNTIFS('Execution Log'!$B$2:$B$78,A17,'Execution Log'!$F$2:$F$78,"Not Executed")</x:f>
        <x:v>32</x:v>
      </x:c>
    </x:row>
    <x:row r="18">
      <x:c r="A18" t="str">
        <x:v>Selenium</x:v>
      </x:c>
      <x:c r="B18" t="n">
        <x:f>COUNTIF('Execution Log'!$B$2:$B$78,A18)</x:f>
        <x:v>12</x:v>
      </x:c>
      <x:c r="C18" t="n">
        <x:f>COUNTIFS('Execution Log'!$B$2:$B$78,A18,'Execution Log'!$F$2:$F$78,"Pass")</x:f>
        <x:v>0</x:v>
      </x:c>
      <x:c r="D18" t="n">
        <x:f>COUNTIFS('Execution Log'!$B$2:$B$78,A18,'Execution Log'!$F$2:$F$78,"Fail")</x:f>
        <x:v>0</x:v>
      </x:c>
      <x:c r="E18" t="n">
        <x:f>COUNTIFS('Execution Log'!$B$2:$B$78,A18,'Execution Log'!$F$2:$F$78,"Blocked")</x:f>
        <x:v>0</x:v>
      </x:c>
      <x:c r="F18" t="n">
        <x:f>COUNTIFS('Execution Log'!$B$2:$B$78,A18,'Execution Log'!$F$2:$F$78,"Not Applicable")</x:f>
        <x:v>0</x:v>
      </x:c>
      <x:c r="G18" t="n">
        <x:f>COUNTIFS('Execution Log'!$B$2:$B$78,A18,'Execution Log'!$F$2:$F$78,"Not Executed")</x:f>
        <x:v>12</x:v>
      </x:c>
    </x:row>
    <x:row r="19">
      <x:c r="A19" t="str">
        <x:v>Playwright</x:v>
      </x:c>
      <x:c r="B19" t="n">
        <x:f>COUNTIF('Execution Log'!$B$2:$B$78,A19)</x:f>
        <x:v>12</x:v>
      </x:c>
      <x:c r="C19" t="n">
        <x:f>COUNTIFS('Execution Log'!$B$2:$B$78,A19,'Execution Log'!$F$2:$F$78,"Pass")</x:f>
        <x:v>0</x:v>
      </x:c>
      <x:c r="D19" t="n">
        <x:f>COUNTIFS('Execution Log'!$B$2:$B$78,A19,'Execution Log'!$F$2:$F$78,"Fail")</x:f>
        <x:v>0</x:v>
      </x:c>
      <x:c r="E19" t="n">
        <x:f>COUNTIFS('Execution Log'!$B$2:$B$78,A19,'Execution Log'!$F$2:$F$78,"Blocked")</x:f>
        <x:v>0</x:v>
      </x:c>
      <x:c r="F19" t="n">
        <x:f>COUNTIFS('Execution Log'!$B$2:$B$78,A19,'Execution Log'!$F$2:$F$78,"Not Applicable")</x:f>
        <x:v>0</x:v>
      </x:c>
      <x:c r="G19" t="n">
        <x:f>COUNTIFS('Execution Log'!$B$2:$B$78,A19,'Execution Log'!$F$2:$F$78,"Not Executed")</x:f>
        <x:v>12</x:v>
      </x:c>
    </x:row>
    <x:row r="20">
      <x:c r="A20" t="str">
        <x:v>Postman</x:v>
      </x:c>
      <x:c r="B20" t="n">
        <x:f>COUNTIF('Execution Log'!$B$2:$B$78,A20)</x:f>
        <x:v>7</x:v>
      </x:c>
      <x:c r="C20" t="n">
        <x:f>COUNTIFS('Execution Log'!$B$2:$B$78,A20,'Execution Log'!$F$2:$F$78,"Pass")</x:f>
        <x:v>0</x:v>
      </x:c>
      <x:c r="D20" t="n">
        <x:f>COUNTIFS('Execution Log'!$B$2:$B$78,A20,'Execution Log'!$F$2:$F$78,"Fail")</x:f>
        <x:v>0</x:v>
      </x:c>
      <x:c r="E20" t="n">
        <x:f>COUNTIFS('Execution Log'!$B$2:$B$78,A20,'Execution Log'!$F$2:$F$78,"Blocked")</x:f>
        <x:v>0</x:v>
      </x:c>
      <x:c r="F20" t="n">
        <x:f>COUNTIFS('Execution Log'!$B$2:$B$78,A20,'Execution Log'!$F$2:$F$78,"Not Applicable")</x:f>
        <x:v>0</x:v>
      </x:c>
      <x:c r="G20" t="n">
        <x:f>COUNTIFS('Execution Log'!$B$2:$B$78,A20,'Execution Log'!$F$2:$F$78,"Not Executed")</x:f>
        <x:v>7</x:v>
      </x:c>
    </x:row>
    <x:row r="21">
      <x:c r="A21" t="str">
        <x:v>SQL Live (authorized)</x:v>
      </x:c>
      <x:c r="B21" t="n">
        <x:f>COUNTIF('Execution Log'!$B$2:$B$78,A21)</x:f>
        <x:v>14</x:v>
      </x:c>
      <x:c r="C21" t="n">
        <x:f>COUNTIFS('Execution Log'!$B$2:$B$78,A21,'Execution Log'!$F$2:$F$78,"Pass")</x:f>
        <x:v>0</x:v>
      </x:c>
      <x:c r="D21" t="n">
        <x:f>COUNTIFS('Execution Log'!$B$2:$B$78,A21,'Execution Log'!$F$2:$F$78,"Fail")</x:f>
        <x:v>0</x:v>
      </x:c>
      <x:c r="E21" t="n">
        <x:f>COUNTIFS('Execution Log'!$B$2:$B$78,A21,'Execution Log'!$F$2:$F$78,"Blocked")</x:f>
        <x:v>0</x:v>
      </x:c>
      <x:c r="F21" t="n">
        <x:f>COUNTIFS('Execution Log'!$B$2:$B$78,A21,'Execution Log'!$F$2:$F$78,"Not Applicable")</x:f>
        <x:v>0</x:v>
      </x:c>
      <x:c r="G21" t="n">
        <x:f>COUNTIFS('Execution Log'!$B$2:$B$78,A21,'Execution Log'!$F$2:$F$78,"Not Executed")</x:f>
        <x:v>14</x:v>
      </x:c>
    </x:row>
    <x:row r="24">
      <x:c r="A24" s="17" t="str">
        <x:v>SQL practice fixture (separate from live execution)</x:v>
      </x:c>
      <x:c r="B24" s="17"/>
      <x:c r="C24" s="17"/>
      <x:c r="D24" s="17"/>
      <x:c r="E24" s="17"/>
      <x:c r="F24" s="17"/>
      <x:c r="G24" s="17"/>
      <x:c r="H24" s="17"/>
    </x:row>
    <x:row r="25">
      <x:c r="A25" t="str">
        <x:v>Checks defined</x:v>
      </x:c>
      <x:c r="B25" t="n">
        <x:v>14</x:v>
      </x:c>
    </x:row>
    <x:row r="26">
      <x:c r="A26" t="str">
        <x:v>Scope</x:v>
      </x:c>
      <x:c r="B26" t="str">
        <x:v>Synthetic SQLite only</x:v>
      </x:c>
    </x:row>
    <x:row r="27">
      <x:c r="A27" t="str">
        <x:v>Current evidence</x:v>
      </x:c>
      <x:c r="B27" t="str">
        <x:v>Not re-run in this workbook</x:v>
      </x:c>
    </x:row>
    <x:row r="29">
      <x:c r="A29" t="str">
        <x:v>Rule: never treat synthetic fixture passes as production/demo results.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40" hidden="0" customWidth="1"/>
    <x:col min="4" max="4" width="23" hidden="0" customWidth="1"/>
    <x:col min="5" max="5" width="41" hidden="0" customWidth="1"/>
    <x:col min="6" max="6" width="19" hidden="0" customWidth="1"/>
    <x:col min="7" max="7" width="42" hidden="0" customWidth="1"/>
    <x:col min="8" max="8" width="39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36" hidden="0" customWidth="1"/>
  </x:cols>
  <x:sheetData>
    <x:row r="1" ht="30" customHeight="1">
      <x:c r="A1" s="4" t="str">
        <x:v>Execution ID</x:v>
      </x:c>
      <x:c r="B1" s="4" t="str">
        <x:v>Stream</x:v>
      </x:c>
      <x:c r="C1" s="4" t="str">
        <x:v>Linked Test Case ID(s)</x:v>
      </x:c>
      <x:c r="D1" s="4" t="str">
        <x:v>Requirement / Note</x:v>
      </x:c>
      <x:c r="E1" s="4" t="str">
        <x:v>Test / Scenario</x:v>
      </x:c>
      <x:c r="F1" s="4" t="str">
        <x:v>Status</x:v>
      </x:c>
      <x:c r="G1" s="4" t="str">
        <x:v>Actual Result</x:v>
      </x:c>
      <x:c r="H1" s="4" t="str">
        <x:v>Evidence Path / URL</x:v>
      </x:c>
      <x:c r="I1" s="4" t="str">
        <x:v>Defect ID</x:v>
      </x:c>
      <x:c r="J1" s="4" t="str">
        <x:v>Run ID</x:v>
      </x:c>
      <x:c r="K1" s="4" t="str">
        <x:v>Executed On</x:v>
      </x:c>
      <x:c r="L1" s="4" t="str">
        <x:v>Tester</x:v>
      </x:c>
      <x:c r="M1" s="4" t="str">
        <x:v>Comments / Blockers</x:v>
      </x:c>
    </x:row>
    <x:row r="2" ht="22" customHeight="1">
      <x:c r="A2" t="str">
        <x:v>MAN-001</x:v>
      </x:c>
      <x:c r="B2" t="str">
        <x:v>Manual</x:v>
      </x:c>
      <x:c r="C2" t="str">
        <x:v>ORG-TC-LOGIN-001</x:v>
      </x:c>
      <x:c r="D2" t="str">
        <x:v>ORG-FR-LOGIN-001</x:v>
      </x:c>
      <x:c r="E2" t="str">
        <x:v>Login page controls</x:v>
      </x:c>
      <x:c r="F2" t="str">
        <x:v>Not Executed</x:v>
      </x:c>
      <x:c r="G2" t="str"/>
      <x:c r="H2" t="str"/>
      <x:c r="I2" t="str"/>
      <x:c r="J2" t="str"/>
      <x:c r="K2" t="str"/>
      <x:c r="L2" t="str"/>
      <x:c r="M2" t="str"/>
    </x:row>
    <x:row r="3" ht="22" customHeight="1">
      <x:c r="A3" t="str">
        <x:v>MAN-002</x:v>
      </x:c>
      <x:c r="B3" t="str">
        <x:v>Manual</x:v>
      </x:c>
      <x:c r="C3" t="str">
        <x:v>ORG-TC-LOGIN-002</x:v>
      </x:c>
      <x:c r="D3" t="str">
        <x:v>ORG-FR-LOGIN-002</x:v>
      </x:c>
      <x:c r="E3" t="str">
        <x:v>Valid credentials</x:v>
      </x:c>
      <x:c r="F3" t="str">
        <x:v>Not Executed</x:v>
      </x:c>
      <x:c r="G3" t="str"/>
      <x:c r="H3" t="str"/>
      <x:c r="I3" t="str"/>
      <x:c r="J3" t="str"/>
      <x:c r="K3" t="str"/>
      <x:c r="L3" t="str"/>
      <x:c r="M3" t="str"/>
    </x:row>
    <x:row r="4" ht="22" customHeight="1">
      <x:c r="A4" t="str">
        <x:v>MAN-003</x:v>
      </x:c>
      <x:c r="B4" t="str">
        <x:v>Manual</x:v>
      </x:c>
      <x:c r="C4" t="str">
        <x:v>ORG-TC-LOGIN-003</x:v>
      </x:c>
      <x:c r="D4" t="str">
        <x:v>ORG-FR-LOGIN-003</x:v>
      </x:c>
      <x:c r="E4" t="str">
        <x:v>Invalid username</x:v>
      </x:c>
      <x:c r="F4" t="str">
        <x:v>Not Executed</x:v>
      </x:c>
      <x:c r="G4" t="str"/>
      <x:c r="H4" t="str"/>
      <x:c r="I4" t="str"/>
      <x:c r="J4" t="str"/>
      <x:c r="K4" t="str"/>
      <x:c r="L4" t="str"/>
      <x:c r="M4" t="str"/>
    </x:row>
    <x:row r="5" ht="22" customHeight="1">
      <x:c r="A5" t="str">
        <x:v>MAN-004</x:v>
      </x:c>
      <x:c r="B5" t="str">
        <x:v>Manual</x:v>
      </x:c>
      <x:c r="C5" t="str">
        <x:v>ORG-TC-LOGIN-004</x:v>
      </x:c>
      <x:c r="D5" t="str">
        <x:v>ORG-FR-LOGIN-004</x:v>
      </x:c>
      <x:c r="E5" t="str">
        <x:v>Invalid password</x:v>
      </x:c>
      <x:c r="F5" t="str">
        <x:v>Not Executed</x:v>
      </x:c>
      <x:c r="G5" t="str"/>
      <x:c r="H5" t="str"/>
      <x:c r="I5" t="str"/>
      <x:c r="J5" t="str"/>
      <x:c r="K5" t="str"/>
      <x:c r="L5" t="str"/>
      <x:c r="M5" t="str"/>
    </x:row>
    <x:row r="6" ht="22" customHeight="1">
      <x:c r="A6" t="str">
        <x:v>MAN-005</x:v>
      </x:c>
      <x:c r="B6" t="str">
        <x:v>Manual</x:v>
      </x:c>
      <x:c r="C6" t="str">
        <x:v>ORG-TC-LOGIN-005</x:v>
      </x:c>
      <x:c r="D6" t="str">
        <x:v>ORG-FR-LOGIN-005</x:v>
      </x:c>
      <x:c r="E6" t="str">
        <x:v>Both invalid</x:v>
      </x:c>
      <x:c r="F6" t="str">
        <x:v>Not Executed</x:v>
      </x:c>
      <x:c r="G6" t="str"/>
      <x:c r="H6" t="str"/>
      <x:c r="I6" t="str"/>
      <x:c r="J6" t="str"/>
      <x:c r="K6" t="str"/>
      <x:c r="L6" t="str"/>
      <x:c r="M6" t="str"/>
    </x:row>
    <x:row r="7" ht="22" customHeight="1">
      <x:c r="A7" t="str">
        <x:v>MAN-006</x:v>
      </x:c>
      <x:c r="B7" t="str">
        <x:v>Manual</x:v>
      </x:c>
      <x:c r="C7" t="str">
        <x:v>ORG-TC-LOGIN-006</x:v>
      </x:c>
      <x:c r="D7" t="str">
        <x:v>ORG-FR-LOGIN-006</x:v>
      </x:c>
      <x:c r="E7" t="str">
        <x:v>Empty username</x:v>
      </x:c>
      <x:c r="F7" t="str">
        <x:v>Not Executed</x:v>
      </x:c>
      <x:c r="G7" t="str"/>
      <x:c r="H7" t="str"/>
      <x:c r="I7" t="str"/>
      <x:c r="J7" t="str"/>
      <x:c r="K7" t="str"/>
      <x:c r="L7" t="str"/>
      <x:c r="M7" t="str"/>
    </x:row>
    <x:row r="8" ht="22" customHeight="1">
      <x:c r="A8" t="str">
        <x:v>MAN-007</x:v>
      </x:c>
      <x:c r="B8" t="str">
        <x:v>Manual</x:v>
      </x:c>
      <x:c r="C8" t="str">
        <x:v>ORG-TC-LOGIN-007</x:v>
      </x:c>
      <x:c r="D8" t="str">
        <x:v>ORG-FR-LOGIN-007</x:v>
      </x:c>
      <x:c r="E8" t="str">
        <x:v>Empty password</x:v>
      </x:c>
      <x:c r="F8" t="str">
        <x:v>Not Executed</x:v>
      </x:c>
      <x:c r="G8" t="str"/>
      <x:c r="H8" t="str"/>
      <x:c r="I8" t="str"/>
      <x:c r="J8" t="str"/>
      <x:c r="K8" t="str"/>
      <x:c r="L8" t="str"/>
      <x:c r="M8" t="str"/>
    </x:row>
    <x:row r="9" ht="22" customHeight="1">
      <x:c r="A9" t="str">
        <x:v>MAN-008</x:v>
      </x:c>
      <x:c r="B9" t="str">
        <x:v>Manual</x:v>
      </x:c>
      <x:c r="C9" t="str">
        <x:v>ORG-TC-LOGIN-008</x:v>
      </x:c>
      <x:c r="D9" t="str">
        <x:v>ORG-FR-LOGIN-008</x:v>
      </x:c>
      <x:c r="E9" t="str">
        <x:v>Both empty</x:v>
      </x:c>
      <x:c r="F9" t="str">
        <x:v>Not Executed</x:v>
      </x:c>
      <x:c r="G9" t="str"/>
      <x:c r="H9" t="str"/>
      <x:c r="I9" t="str"/>
      <x:c r="J9" t="str"/>
      <x:c r="K9" t="str"/>
      <x:c r="L9" t="str"/>
      <x:c r="M9" t="str"/>
    </x:row>
    <x:row r="10" ht="22" customHeight="1">
      <x:c r="A10" t="str">
        <x:v>MAN-009</x:v>
      </x:c>
      <x:c r="B10" t="str">
        <x:v>Manual</x:v>
      </x:c>
      <x:c r="C10" t="str">
        <x:v>ORG-TC-LOGIN-009</x:v>
      </x:c>
      <x:c r="D10" t="str">
        <x:v>ORG-FR-LOGIN-009</x:v>
      </x:c>
      <x:c r="E10" t="str">
        <x:v>Password masking</x:v>
      </x:c>
      <x:c r="F10" t="str">
        <x:v>Not Executed</x:v>
      </x:c>
      <x:c r="G10" t="str"/>
      <x:c r="H10" t="str"/>
      <x:c r="I10" t="str"/>
      <x:c r="J10" t="str"/>
      <x:c r="K10" t="str"/>
      <x:c r="L10" t="str"/>
      <x:c r="M10" t="str"/>
    </x:row>
    <x:row r="11" ht="22" customHeight="1">
      <x:c r="A11" t="str">
        <x:v>MAN-010</x:v>
      </x:c>
      <x:c r="B11" t="str">
        <x:v>Manual</x:v>
      </x:c>
      <x:c r="C11" t="str">
        <x:v>ORG-TC-LOGIN-010</x:v>
      </x:c>
      <x:c r="D11" t="str">
        <x:v>ORG-FR-LOGIN-010</x:v>
      </x:c>
      <x:c r="E11" t="str">
        <x:v>Invalid-credential message</x:v>
      </x:c>
      <x:c r="F11" t="str">
        <x:v>Not Executed</x:v>
      </x:c>
      <x:c r="G11" t="str"/>
      <x:c r="H11" t="str"/>
      <x:c r="I11" t="str"/>
      <x:c r="J11" t="str"/>
      <x:c r="K11" t="str"/>
      <x:c r="L11" t="str"/>
      <x:c r="M11" t="str"/>
    </x:row>
    <x:row r="12" ht="22" customHeight="1">
      <x:c r="A12" t="str">
        <x:v>MAN-011</x:v>
      </x:c>
      <x:c r="B12" t="str">
        <x:v>Manual</x:v>
      </x:c>
      <x:c r="C12" t="str">
        <x:v>ORG-TC-LOGIN-011</x:v>
      </x:c>
      <x:c r="D12" t="str">
        <x:v>ORG-FR-LOGIN-011</x:v>
      </x:c>
      <x:c r="E12" t="str">
        <x:v>Successful-login navigation</x:v>
      </x:c>
      <x:c r="F12" t="str">
        <x:v>Not Executed</x:v>
      </x:c>
      <x:c r="G12" t="str"/>
      <x:c r="H12" t="str"/>
      <x:c r="I12" t="str"/>
      <x:c r="J12" t="str"/>
      <x:c r="K12" t="str"/>
      <x:c r="L12" t="str"/>
      <x:c r="M12" t="str"/>
    </x:row>
    <x:row r="13" ht="22" customHeight="1">
      <x:c r="A13" t="str">
        <x:v>MAN-012</x:v>
      </x:c>
      <x:c r="B13" t="str">
        <x:v>Manual</x:v>
      </x:c>
      <x:c r="C13" t="str">
        <x:v>ORG-TC-LOGIN-012</x:v>
      </x:c>
      <x:c r="D13" t="str">
        <x:v>ORG-FR-LOGIN-012</x:v>
      </x:c>
      <x:c r="E13" t="str">
        <x:v>Forgot Password link</x:v>
      </x:c>
      <x:c r="F13" t="str">
        <x:v>Not Executed</x:v>
      </x:c>
      <x:c r="G13" t="str"/>
      <x:c r="H13" t="str"/>
      <x:c r="I13" t="str"/>
      <x:c r="J13" t="str"/>
      <x:c r="K13" t="str"/>
      <x:c r="L13" t="str"/>
      <x:c r="M13" t="str"/>
    </x:row>
    <x:row r="14" ht="22" customHeight="1">
      <x:c r="A14" t="str">
        <x:v>MAN-013</x:v>
      </x:c>
      <x:c r="B14" t="str">
        <x:v>Manual</x:v>
      </x:c>
      <x:c r="C14" t="str">
        <x:v>ORG-TC-LOGIN-013</x:v>
      </x:c>
      <x:c r="D14" t="str">
        <x:v>ORG-FR-LOGIN-013</x:v>
      </x:c>
      <x:c r="E14" t="str">
        <x:v>Forgot Password navigation</x:v>
      </x:c>
      <x:c r="F14" t="str">
        <x:v>Not Executed</x:v>
      </x:c>
      <x:c r="G14" t="str"/>
      <x:c r="H14" t="str"/>
      <x:c r="I14" t="str"/>
      <x:c r="J14" t="str"/>
      <x:c r="K14" t="str"/>
      <x:c r="L14" t="str"/>
      <x:c r="M14" t="str"/>
    </x:row>
    <x:row r="15" ht="22" customHeight="1">
      <x:c r="A15" t="str">
        <x:v>MAN-014</x:v>
      </x:c>
      <x:c r="B15" t="str">
        <x:v>Manual</x:v>
      </x:c>
      <x:c r="C15" t="str">
        <x:v>ORG-TC-LOGIN-014</x:v>
      </x:c>
      <x:c r="D15" t="str">
        <x:v>ORG-FR-LOGIN-014</x:v>
      </x:c>
      <x:c r="E15" t="str">
        <x:v>Protected route when logged out</x:v>
      </x:c>
      <x:c r="F15" t="str">
        <x:v>Not Executed</x:v>
      </x:c>
      <x:c r="G15" t="str"/>
      <x:c r="H15" t="str"/>
      <x:c r="I15" t="str"/>
      <x:c r="J15" t="str"/>
      <x:c r="K15" t="str"/>
      <x:c r="L15" t="str"/>
      <x:c r="M15" t="str"/>
    </x:row>
    <x:row r="16" ht="22" customHeight="1">
      <x:c r="A16" t="str">
        <x:v>MAN-015</x:v>
      </x:c>
      <x:c r="B16" t="str">
        <x:v>Manual</x:v>
      </x:c>
      <x:c r="C16" t="str">
        <x:v>ORG-TC-LOGIN-015</x:v>
      </x:c>
      <x:c r="D16" t="str">
        <x:v>ORG-FR-LOGIN-015</x:v>
      </x:c>
      <x:c r="E16" t="str">
        <x:v>Logout ends session</x:v>
      </x:c>
      <x:c r="F16" t="str">
        <x:v>Not Executed</x:v>
      </x:c>
      <x:c r="G16" t="str"/>
      <x:c r="H16" t="str"/>
      <x:c r="I16" t="str"/>
      <x:c r="J16" t="str"/>
      <x:c r="K16" t="str"/>
      <x:c r="L16" t="str"/>
      <x:c r="M16" t="str"/>
    </x:row>
    <x:row r="17" ht="22" customHeight="1">
      <x:c r="A17" t="str">
        <x:v>MAN-016</x:v>
      </x:c>
      <x:c r="B17" t="str">
        <x:v>Manual</x:v>
      </x:c>
      <x:c r="C17" t="str">
        <x:v>ORG-TC-LOGIN-016</x:v>
      </x:c>
      <x:c r="D17" t="str">
        <x:v>ORG-FR-LOGIN-016</x:v>
      </x:c>
      <x:c r="E17" t="str">
        <x:v>Back navigation after logout</x:v>
      </x:c>
      <x:c r="F17" t="str">
        <x:v>Not Executed</x:v>
      </x:c>
      <x:c r="G17" t="str"/>
      <x:c r="H17" t="str"/>
      <x:c r="I17" t="str"/>
      <x:c r="J17" t="str"/>
      <x:c r="K17" t="str"/>
      <x:c r="L17" t="str"/>
      <x:c r="M17" t="str"/>
    </x:row>
    <x:row r="18" ht="22" customHeight="1">
      <x:c r="A18" t="str">
        <x:v>MAN-017</x:v>
      </x:c>
      <x:c r="B18" t="str">
        <x:v>Manual</x:v>
      </x:c>
      <x:c r="C18" t="str">
        <x:v>ORG-TC-LOGIN-017</x:v>
      </x:c>
      <x:c r="D18" t="str">
        <x:v>ORG-FR-LOGIN-017</x:v>
      </x:c>
      <x:c r="E18" t="str">
        <x:v>Invalid login cannot establish session</x:v>
      </x:c>
      <x:c r="F18" t="str">
        <x:v>Not Executed</x:v>
      </x:c>
      <x:c r="G18" t="str"/>
      <x:c r="H18" t="str"/>
      <x:c r="I18" t="str"/>
      <x:c r="J18" t="str"/>
      <x:c r="K18" t="str"/>
      <x:c r="L18" t="str"/>
      <x:c r="M18" t="str"/>
    </x:row>
    <x:row r="19" ht="22" customHeight="1">
      <x:c r="A19" t="str">
        <x:v>MAN-018</x:v>
      </x:c>
      <x:c r="B19" t="str">
        <x:v>Manual</x:v>
      </x:c>
      <x:c r="C19" t="str">
        <x:v>ORG-TC-LOGIN-018</x:v>
      </x:c>
      <x:c r="D19" t="str">
        <x:v>Exploratory</x:v>
      </x:c>
      <x:c r="E19" t="str">
        <x:v>Username surrounding whitespace</x:v>
      </x:c>
      <x:c r="F19" t="str">
        <x:v>Not Executed</x:v>
      </x:c>
      <x:c r="G19" t="str"/>
      <x:c r="H19" t="str"/>
      <x:c r="I19" t="str"/>
      <x:c r="J19" t="str"/>
      <x:c r="K19" t="str"/>
      <x:c r="L19" t="str"/>
      <x:c r="M19" t="str"/>
    </x:row>
    <x:row r="20" ht="22" customHeight="1">
      <x:c r="A20" t="str">
        <x:v>MAN-019</x:v>
      </x:c>
      <x:c r="B20" t="str">
        <x:v>Manual</x:v>
      </x:c>
      <x:c r="C20" t="str">
        <x:v>ORG-TC-LOGIN-019</x:v>
      </x:c>
      <x:c r="D20" t="str">
        <x:v>Exploratory</x:v>
      </x:c>
      <x:c r="E20" t="str">
        <x:v>Password surrounding whitespace</x:v>
      </x:c>
      <x:c r="F20" t="str">
        <x:v>Not Executed</x:v>
      </x:c>
      <x:c r="G20" t="str"/>
      <x:c r="H20" t="str"/>
      <x:c r="I20" t="str"/>
      <x:c r="J20" t="str"/>
      <x:c r="K20" t="str"/>
      <x:c r="L20" t="str"/>
      <x:c r="M20" t="str"/>
    </x:row>
    <x:row r="21" ht="22" customHeight="1">
      <x:c r="A21" t="str">
        <x:v>MAN-020</x:v>
      </x:c>
      <x:c r="B21" t="str">
        <x:v>Manual</x:v>
      </x:c>
      <x:c r="C21" t="str">
        <x:v>ORG-TC-LOGIN-020</x:v>
      </x:c>
      <x:c r="D21" t="str">
        <x:v>Exploratory</x:v>
      </x:c>
      <x:c r="E21" t="str">
        <x:v>Username casing</x:v>
      </x:c>
      <x:c r="F21" t="str">
        <x:v>Not Executed</x:v>
      </x:c>
      <x:c r="G21" t="str"/>
      <x:c r="H21" t="str"/>
      <x:c r="I21" t="str"/>
      <x:c r="J21" t="str"/>
      <x:c r="K21" t="str"/>
      <x:c r="L21" t="str"/>
      <x:c r="M21" t="str"/>
    </x:row>
    <x:row r="22" ht="22" customHeight="1">
      <x:c r="A22" t="str">
        <x:v>MAN-021</x:v>
      </x:c>
      <x:c r="B22" t="str">
        <x:v>Manual</x:v>
      </x:c>
      <x:c r="C22" t="str">
        <x:v>ORG-TC-LOGIN-021</x:v>
      </x:c>
      <x:c r="D22" t="str">
        <x:v>Exploratory</x:v>
      </x:c>
      <x:c r="E22" t="str">
        <x:v>Password casing</x:v>
      </x:c>
      <x:c r="F22" t="str">
        <x:v>Not Executed</x:v>
      </x:c>
      <x:c r="G22" t="str"/>
      <x:c r="H22" t="str"/>
      <x:c r="I22" t="str"/>
      <x:c r="J22" t="str"/>
      <x:c r="K22" t="str"/>
      <x:c r="L22" t="str"/>
      <x:c r="M22" t="str"/>
    </x:row>
    <x:row r="23" ht="22" customHeight="1">
      <x:c r="A23" t="str">
        <x:v>MAN-022</x:v>
      </x:c>
      <x:c r="B23" t="str">
        <x:v>Manual</x:v>
      </x:c>
      <x:c r="C23" t="str">
        <x:v>ORG-TC-LOGIN-022</x:v>
      </x:c>
      <x:c r="D23" t="str">
        <x:v>Exploratory</x:v>
      </x:c>
      <x:c r="E23" t="str">
        <x:v>Enter key submits form</x:v>
      </x:c>
      <x:c r="F23" t="str">
        <x:v>Not Executed</x:v>
      </x:c>
      <x:c r="G23" t="str"/>
      <x:c r="H23" t="str"/>
      <x:c r="I23" t="str"/>
      <x:c r="J23" t="str"/>
      <x:c r="K23" t="str"/>
      <x:c r="L23" t="str"/>
      <x:c r="M23" t="str"/>
    </x:row>
    <x:row r="24" ht="22" customHeight="1">
      <x:c r="A24" t="str">
        <x:v>MAN-023</x:v>
      </x:c>
      <x:c r="B24" t="str">
        <x:v>Manual</x:v>
      </x:c>
      <x:c r="C24" t="str">
        <x:v>ORG-TC-LOGIN-023</x:v>
      </x:c>
      <x:c r="D24" t="str">
        <x:v>Exploratory</x:v>
      </x:c>
      <x:c r="E24" t="str">
        <x:v>Responsive UI</x:v>
      </x:c>
      <x:c r="F24" t="str">
        <x:v>Not Executed</x:v>
      </x:c>
      <x:c r="G24" t="str"/>
      <x:c r="H24" t="str"/>
      <x:c r="I24" t="str"/>
      <x:c r="J24" t="str"/>
      <x:c r="K24" t="str"/>
      <x:c r="L24" t="str"/>
      <x:c r="M24" t="str"/>
    </x:row>
    <x:row r="25" ht="22" customHeight="1">
      <x:c r="A25" t="str">
        <x:v>MAN-024</x:v>
      </x:c>
      <x:c r="B25" t="str">
        <x:v>Manual</x:v>
      </x:c>
      <x:c r="C25" t="str">
        <x:v>ORG-TC-LOGIN-024</x:v>
      </x:c>
      <x:c r="D25" t="str">
        <x:v>Exploratory</x:v>
      </x:c>
      <x:c r="E25" t="str">
        <x:v>Refresh login page</x:v>
      </x:c>
      <x:c r="F25" t="str">
        <x:v>Not Executed</x:v>
      </x:c>
      <x:c r="G25" t="str"/>
      <x:c r="H25" t="str"/>
      <x:c r="I25" t="str"/>
      <x:c r="J25" t="str"/>
      <x:c r="K25" t="str"/>
      <x:c r="L25" t="str"/>
      <x:c r="M25" t="str"/>
    </x:row>
    <x:row r="26" ht="22" customHeight="1">
      <x:c r="A26" t="str">
        <x:v>MAN-025</x:v>
      </x:c>
      <x:c r="B26" t="str">
        <x:v>Manual</x:v>
      </x:c>
      <x:c r="C26" t="str">
        <x:v>ORG-TC-LOGIN-025</x:v>
      </x:c>
      <x:c r="D26" t="str">
        <x:v>Exploratory</x:v>
      </x:c>
      <x:c r="E26" t="str">
        <x:v>Long username</x:v>
      </x:c>
      <x:c r="F26" t="str">
        <x:v>Not Executed</x:v>
      </x:c>
      <x:c r="G26" t="str"/>
      <x:c r="H26" t="str"/>
      <x:c r="I26" t="str"/>
      <x:c r="J26" t="str"/>
      <x:c r="K26" t="str"/>
      <x:c r="L26" t="str"/>
      <x:c r="M26" t="str"/>
    </x:row>
    <x:row r="27" ht="22" customHeight="1">
      <x:c r="A27" t="str">
        <x:v>MAN-026</x:v>
      </x:c>
      <x:c r="B27" t="str">
        <x:v>Manual</x:v>
      </x:c>
      <x:c r="C27" t="str">
        <x:v>ORG-TC-LOGIN-026</x:v>
      </x:c>
      <x:c r="D27" t="str">
        <x:v>Exploratory</x:v>
      </x:c>
      <x:c r="E27" t="str">
        <x:v>Long password</x:v>
      </x:c>
      <x:c r="F27" t="str">
        <x:v>Not Executed</x:v>
      </x:c>
      <x:c r="G27" t="str"/>
      <x:c r="H27" t="str"/>
      <x:c r="I27" t="str"/>
      <x:c r="J27" t="str"/>
      <x:c r="K27" t="str"/>
      <x:c r="L27" t="str"/>
      <x:c r="M27" t="str"/>
    </x:row>
    <x:row r="28" ht="22" customHeight="1">
      <x:c r="A28" t="str">
        <x:v>MAN-027</x:v>
      </x:c>
      <x:c r="B28" t="str">
        <x:v>Manual</x:v>
      </x:c>
      <x:c r="C28" t="str">
        <x:v>ORG-TC-LOGIN-027</x:v>
      </x:c>
      <x:c r="D28" t="str">
        <x:v>ORG-NFR-LOGIN-001</x:v>
      </x:c>
      <x:c r="E28" t="str">
        <x:v>HTTPS authentication</x:v>
      </x:c>
      <x:c r="F28" t="str">
        <x:v>Not Executed</x:v>
      </x:c>
      <x:c r="G28" t="str"/>
      <x:c r="H28" t="str"/>
      <x:c r="I28" t="str"/>
      <x:c r="J28" t="str"/>
      <x:c r="K28" t="str"/>
      <x:c r="L28" t="str"/>
      <x:c r="M28" t="str"/>
    </x:row>
    <x:row r="29" ht="22" customHeight="1">
      <x:c r="A29" t="str">
        <x:v>MAN-028</x:v>
      </x:c>
      <x:c r="B29" t="str">
        <x:v>Manual</x:v>
      </x:c>
      <x:c r="C29" t="str">
        <x:v>ORG-TC-LOGIN-028</x:v>
      </x:c>
      <x:c r="D29" t="str">
        <x:v>ORG-NFR-LOGIN-002</x:v>
      </x:c>
      <x:c r="E29" t="str">
        <x:v>Username enumeration resistance</x:v>
      </x:c>
      <x:c r="F29" t="str">
        <x:v>Not Executed</x:v>
      </x:c>
      <x:c r="G29" t="str"/>
      <x:c r="H29" t="str"/>
      <x:c r="I29" t="str"/>
      <x:c r="J29" t="str"/>
      <x:c r="K29" t="str"/>
      <x:c r="L29" t="str"/>
      <x:c r="M29" t="str"/>
    </x:row>
    <x:row r="30" ht="22" customHeight="1">
      <x:c r="A30" t="str">
        <x:v>MAN-029</x:v>
      </x:c>
      <x:c r="B30" t="str">
        <x:v>Manual</x:v>
      </x:c>
      <x:c r="C30" t="str">
        <x:v>ORG-TC-LOGIN-029</x:v>
      </x:c>
      <x:c r="D30" t="str">
        <x:v>ORG-NFR-LOGIN-003</x:v>
      </x:c>
      <x:c r="E30" t="str">
        <x:v>Revoked session cannot be reused</x:v>
      </x:c>
      <x:c r="F30" t="str">
        <x:v>Not Executed</x:v>
      </x:c>
      <x:c r="G30" t="str"/>
      <x:c r="H30" t="str"/>
      <x:c r="I30" t="str"/>
      <x:c r="J30" t="str"/>
      <x:c r="K30" t="str"/>
      <x:c r="L30" t="str"/>
      <x:c r="M30" t="str"/>
    </x:row>
    <x:row r="31" ht="22" customHeight="1">
      <x:c r="A31" t="str">
        <x:v>MAN-030</x:v>
      </x:c>
      <x:c r="B31" t="str">
        <x:v>Manual</x:v>
      </x:c>
      <x:c r="C31" t="str">
        <x:v>ORG-TC-LOGIN-030</x:v>
      </x:c>
      <x:c r="D31" t="str">
        <x:v>ORG-NFR-LOGIN-004</x:v>
      </x:c>
      <x:c r="E31" t="str">
        <x:v>Keyboard accessibility</x:v>
      </x:c>
      <x:c r="F31" t="str">
        <x:v>Not Executed</x:v>
      </x:c>
      <x:c r="G31" t="str"/>
      <x:c r="H31" t="str"/>
      <x:c r="I31" t="str"/>
      <x:c r="J31" t="str"/>
      <x:c r="K31" t="str"/>
      <x:c r="L31" t="str"/>
      <x:c r="M31" t="str"/>
    </x:row>
    <x:row r="32" ht="22" customHeight="1">
      <x:c r="A32" t="str">
        <x:v>MAN-031</x:v>
      </x:c>
      <x:c r="B32" t="str">
        <x:v>Manual</x:v>
      </x:c>
      <x:c r="C32" t="str">
        <x:v>ORG-TC-LOGIN-031</x:v>
      </x:c>
      <x:c r="D32" t="str">
        <x:v>ORG-NFR-LOGIN-005</x:v>
      </x:c>
      <x:c r="E32" t="str">
        <x:v>Supported browsers</x:v>
      </x:c>
      <x:c r="F32" t="str">
        <x:v>Not Executed</x:v>
      </x:c>
      <x:c r="G32" t="str"/>
      <x:c r="H32" t="str"/>
      <x:c r="I32" t="str"/>
      <x:c r="J32" t="str"/>
      <x:c r="K32" t="str"/>
      <x:c r="L32" t="str"/>
      <x:c r="M32" t="str"/>
    </x:row>
    <x:row r="33" ht="22" customHeight="1">
      <x:c r="A33" t="str">
        <x:v>MAN-032</x:v>
      </x:c>
      <x:c r="B33" t="str">
        <x:v>Manual</x:v>
      </x:c>
      <x:c r="C33" t="str">
        <x:v>ORG-TC-LOGIN-032</x:v>
      </x:c>
      <x:c r="D33" t="str">
        <x:v>ORG-NFR-LOGIN-006</x:v>
      </x:c>
      <x:c r="E33" t="str">
        <x:v>Credential guessing policy review</x:v>
      </x:c>
      <x:c r="F33" t="str">
        <x:v>Not Executed</x:v>
      </x:c>
      <x:c r="G33" t="str"/>
      <x:c r="H33" t="str"/>
      <x:c r="I33" t="str"/>
      <x:c r="J33" t="str"/>
      <x:c r="K33" t="str"/>
      <x:c r="L33" t="str"/>
      <x:c r="M33" t="str"/>
    </x:row>
    <x:row r="34" ht="22" customHeight="1">
      <x:c r="A34" t="str">
        <x:v>SEL-001</x:v>
      </x:c>
      <x:c r="B34" t="str">
        <x:v>Selenium</x:v>
      </x:c>
      <x:c r="C34" t="str">
        <x:v>ORG-TC-LOGIN-001</x:v>
      </x:c>
      <x:c r="D34" t="str">
        <x:v>Mapped to manual</x:v>
      </x:c>
      <x:c r="E34" t="str">
        <x:v>Page controls</x:v>
      </x:c>
      <x:c r="F34" t="str">
        <x:v>Not Executed</x:v>
      </x:c>
      <x:c r="G34" t="str"/>
      <x:c r="H34" t="str"/>
      <x:c r="I34" t="str"/>
      <x:c r="J34" t="str"/>
      <x:c r="K34" t="str"/>
      <x:c r="L34" t="str"/>
      <x:c r="M34" t="str"/>
    </x:row>
    <x:row r="35" ht="22" customHeight="1">
      <x:c r="A35" t="str">
        <x:v>SEL-002</x:v>
      </x:c>
      <x:c r="B35" t="str">
        <x:v>Selenium</x:v>
      </x:c>
      <x:c r="C35" t="str">
        <x:v>ORG-TC-LOGIN-002,ORG-TC-LOGIN-011</x:v>
      </x:c>
      <x:c r="D35" t="str">
        <x:v>Mapped to manual</x:v>
      </x:c>
      <x:c r="E35" t="str">
        <x:v>Valid login and landing page</x:v>
      </x:c>
      <x:c r="F35" t="str">
        <x:v>Not Executed</x:v>
      </x:c>
      <x:c r="G35" t="str"/>
      <x:c r="H35" t="str"/>
      <x:c r="I35" t="str"/>
      <x:c r="J35" t="str"/>
      <x:c r="K35" t="str"/>
      <x:c r="L35" t="str"/>
      <x:c r="M35" t="str"/>
    </x:row>
    <x:row r="36" ht="22" customHeight="1">
      <x:c r="A36" t="str">
        <x:v>SEL-003</x:v>
      </x:c>
      <x:c r="B36" t="str">
        <x:v>Selenium</x:v>
      </x:c>
      <x:c r="C36" t="str">
        <x:v>ORG-TC-LOGIN-003</x:v>
      </x:c>
      <x:c r="D36" t="str">
        <x:v>Mapped to manual</x:v>
      </x:c>
      <x:c r="E36" t="str">
        <x:v>Invalid username</x:v>
      </x:c>
      <x:c r="F36" t="str">
        <x:v>Not Executed</x:v>
      </x:c>
      <x:c r="G36" t="str"/>
      <x:c r="H36" t="str"/>
      <x:c r="I36" t="str"/>
      <x:c r="J36" t="str"/>
      <x:c r="K36" t="str"/>
      <x:c r="L36" t="str"/>
      <x:c r="M36" t="str"/>
    </x:row>
    <x:row r="37" ht="22" customHeight="1">
      <x:c r="A37" t="str">
        <x:v>SEL-004</x:v>
      </x:c>
      <x:c r="B37" t="str">
        <x:v>Selenium</x:v>
      </x:c>
      <x:c r="C37" t="str">
        <x:v>ORG-TC-LOGIN-004,ORG-TC-LOGIN-010</x:v>
      </x:c>
      <x:c r="D37" t="str">
        <x:v>Mapped to manual</x:v>
      </x:c>
      <x:c r="E37" t="str">
        <x:v>Invalid password and message</x:v>
      </x:c>
      <x:c r="F37" t="str">
        <x:v>Not Executed</x:v>
      </x:c>
      <x:c r="G37" t="str"/>
      <x:c r="H37" t="str"/>
      <x:c r="I37" t="str"/>
      <x:c r="J37" t="str"/>
      <x:c r="K37" t="str"/>
      <x:c r="L37" t="str"/>
      <x:c r="M37" t="str"/>
    </x:row>
    <x:row r="38" ht="22" customHeight="1">
      <x:c r="A38" t="str">
        <x:v>SEL-005</x:v>
      </x:c>
      <x:c r="B38" t="str">
        <x:v>Selenium</x:v>
      </x:c>
      <x:c r="C38" t="str">
        <x:v>ORG-TC-LOGIN-005</x:v>
      </x:c>
      <x:c r="D38" t="str">
        <x:v>Mapped to manual</x:v>
      </x:c>
      <x:c r="E38" t="str">
        <x:v>Both invalid</x:v>
      </x:c>
      <x:c r="F38" t="str">
        <x:v>Not Executed</x:v>
      </x:c>
      <x:c r="G38" t="str"/>
      <x:c r="H38" t="str"/>
      <x:c r="I38" t="str"/>
      <x:c r="J38" t="str"/>
      <x:c r="K38" t="str"/>
      <x:c r="L38" t="str"/>
      <x:c r="M38" t="str"/>
    </x:row>
    <x:row r="39" ht="22" customHeight="1">
      <x:c r="A39" t="str">
        <x:v>SEL-006</x:v>
      </x:c>
      <x:c r="B39" t="str">
        <x:v>Selenium</x:v>
      </x:c>
      <x:c r="C39" t="str">
        <x:v>ORG-TC-LOGIN-006</x:v>
      </x:c>
      <x:c r="D39" t="str">
        <x:v>Mapped to manual</x:v>
      </x:c>
      <x:c r="E39" t="str">
        <x:v>Empty username</x:v>
      </x:c>
      <x:c r="F39" t="str">
        <x:v>Not Executed</x:v>
      </x:c>
      <x:c r="G39" t="str"/>
      <x:c r="H39" t="str"/>
      <x:c r="I39" t="str"/>
      <x:c r="J39" t="str"/>
      <x:c r="K39" t="str"/>
      <x:c r="L39" t="str"/>
      <x:c r="M39" t="str"/>
    </x:row>
    <x:row r="40" ht="22" customHeight="1">
      <x:c r="A40" t="str">
        <x:v>SEL-007</x:v>
      </x:c>
      <x:c r="B40" t="str">
        <x:v>Selenium</x:v>
      </x:c>
      <x:c r="C40" t="str">
        <x:v>ORG-TC-LOGIN-007</x:v>
      </x:c>
      <x:c r="D40" t="str">
        <x:v>Mapped to manual</x:v>
      </x:c>
      <x:c r="E40" t="str">
        <x:v>Empty password</x:v>
      </x:c>
      <x:c r="F40" t="str">
        <x:v>Not Executed</x:v>
      </x:c>
      <x:c r="G40" t="str"/>
      <x:c r="H40" t="str"/>
      <x:c r="I40" t="str"/>
      <x:c r="J40" t="str"/>
      <x:c r="K40" t="str"/>
      <x:c r="L40" t="str"/>
      <x:c r="M40" t="str"/>
    </x:row>
    <x:row r="41" ht="22" customHeight="1">
      <x:c r="A41" t="str">
        <x:v>SEL-008</x:v>
      </x:c>
      <x:c r="B41" t="str">
        <x:v>Selenium</x:v>
      </x:c>
      <x:c r="C41" t="str">
        <x:v>ORG-TC-LOGIN-008</x:v>
      </x:c>
      <x:c r="D41" t="str">
        <x:v>Mapped to manual</x:v>
      </x:c>
      <x:c r="E41" t="str">
        <x:v>Both blank</x:v>
      </x:c>
      <x:c r="F41" t="str">
        <x:v>Not Executed</x:v>
      </x:c>
      <x:c r="G41" t="str"/>
      <x:c r="H41" t="str"/>
      <x:c r="I41" t="str"/>
      <x:c r="J41" t="str"/>
      <x:c r="K41" t="str"/>
      <x:c r="L41" t="str"/>
      <x:c r="M41" t="str"/>
    </x:row>
    <x:row r="42" ht="22" customHeight="1">
      <x:c r="A42" t="str">
        <x:v>SEL-009</x:v>
      </x:c>
      <x:c r="B42" t="str">
        <x:v>Selenium</x:v>
      </x:c>
      <x:c r="C42" t="str">
        <x:v>ORG-TC-LOGIN-009</x:v>
      </x:c>
      <x:c r="D42" t="str">
        <x:v>Mapped to manual</x:v>
      </x:c>
      <x:c r="E42" t="str">
        <x:v>Password masking</x:v>
      </x:c>
      <x:c r="F42" t="str">
        <x:v>Not Executed</x:v>
      </x:c>
      <x:c r="G42" t="str"/>
      <x:c r="H42" t="str"/>
      <x:c r="I42" t="str"/>
      <x:c r="J42" t="str"/>
      <x:c r="K42" t="str"/>
      <x:c r="L42" t="str"/>
      <x:c r="M42" t="str"/>
    </x:row>
    <x:row r="43" ht="22" customHeight="1">
      <x:c r="A43" t="str">
        <x:v>SEL-010</x:v>
      </x:c>
      <x:c r="B43" t="str">
        <x:v>Selenium</x:v>
      </x:c>
      <x:c r="C43" t="str">
        <x:v>ORG-TC-LOGIN-012</x:v>
      </x:c>
      <x:c r="D43" t="str">
        <x:v>Mapped to manual</x:v>
      </x:c>
      <x:c r="E43" t="str">
        <x:v>Forgot password link</x:v>
      </x:c>
      <x:c r="F43" t="str">
        <x:v>Not Executed</x:v>
      </x:c>
      <x:c r="G43" t="str"/>
      <x:c r="H43" t="str"/>
      <x:c r="I43" t="str"/>
      <x:c r="J43" t="str"/>
      <x:c r="K43" t="str"/>
      <x:c r="L43" t="str"/>
      <x:c r="M43" t="str"/>
    </x:row>
    <x:row r="44" ht="22" customHeight="1">
      <x:c r="A44" t="str">
        <x:v>SEL-011</x:v>
      </x:c>
      <x:c r="B44" t="str">
        <x:v>Selenium</x:v>
      </x:c>
      <x:c r="C44" t="str">
        <x:v>ORG-TC-LOGIN-013</x:v>
      </x:c>
      <x:c r="D44" t="str">
        <x:v>Mapped to manual</x:v>
      </x:c>
      <x:c r="E44" t="str">
        <x:v>Forgot password navigation</x:v>
      </x:c>
      <x:c r="F44" t="str">
        <x:v>Not Executed</x:v>
      </x:c>
      <x:c r="G44" t="str"/>
      <x:c r="H44" t="str"/>
      <x:c r="I44" t="str"/>
      <x:c r="J44" t="str"/>
      <x:c r="K44" t="str"/>
      <x:c r="L44" t="str"/>
      <x:c r="M44" t="str"/>
    </x:row>
    <x:row r="45" ht="22" customHeight="1">
      <x:c r="A45" t="str">
        <x:v>SEL-012</x:v>
      </x:c>
      <x:c r="B45" t="str">
        <x:v>Selenium</x:v>
      </x:c>
      <x:c r="C45" t="str">
        <x:v>ORG-TC-LOGIN-015</x:v>
      </x:c>
      <x:c r="D45" t="str">
        <x:v>Mapped to manual</x:v>
      </x:c>
      <x:c r="E45" t="str">
        <x:v>Logout</x:v>
      </x:c>
      <x:c r="F45" t="str">
        <x:v>Not Executed</x:v>
      </x:c>
      <x:c r="G45" t="str"/>
      <x:c r="H45" t="str"/>
      <x:c r="I45" t="str"/>
      <x:c r="J45" t="str"/>
      <x:c r="K45" t="str"/>
      <x:c r="L45" t="str"/>
      <x:c r="M45" t="str"/>
    </x:row>
    <x:row r="46" ht="22" customHeight="1">
      <x:c r="A46" t="str">
        <x:v>PW-001</x:v>
      </x:c>
      <x:c r="B46" t="str">
        <x:v>Playwright</x:v>
      </x:c>
      <x:c r="C46" t="str">
        <x:v>ORG-TC-LOGIN-001</x:v>
      </x:c>
      <x:c r="D46" t="str">
        <x:v>Mapped to manual</x:v>
      </x:c>
      <x:c r="E46" t="str">
        <x:v>Page controls</x:v>
      </x:c>
      <x:c r="F46" t="str">
        <x:v>Not Executed</x:v>
      </x:c>
      <x:c r="G46" t="str"/>
      <x:c r="H46" t="str"/>
      <x:c r="I46" t="str"/>
      <x:c r="J46" t="str"/>
      <x:c r="K46" t="str"/>
      <x:c r="L46" t="str"/>
      <x:c r="M46" t="str"/>
    </x:row>
    <x:row r="47" ht="22" customHeight="1">
      <x:c r="A47" t="str">
        <x:v>PW-002</x:v>
      </x:c>
      <x:c r="B47" t="str">
        <x:v>Playwright</x:v>
      </x:c>
      <x:c r="C47" t="str">
        <x:v>ORG-TC-LOGIN-002,ORG-TC-LOGIN-011</x:v>
      </x:c>
      <x:c r="D47" t="str">
        <x:v>Mapped to manual</x:v>
      </x:c>
      <x:c r="E47" t="str">
        <x:v>Valid login and landing page</x:v>
      </x:c>
      <x:c r="F47" t="str">
        <x:v>Not Executed</x:v>
      </x:c>
      <x:c r="G47" t="str"/>
      <x:c r="H47" t="str"/>
      <x:c r="I47" t="str"/>
      <x:c r="J47" t="str"/>
      <x:c r="K47" t="str"/>
      <x:c r="L47" t="str"/>
      <x:c r="M47" t="str"/>
    </x:row>
    <x:row r="48" ht="22" customHeight="1">
      <x:c r="A48" t="str">
        <x:v>PW-003</x:v>
      </x:c>
      <x:c r="B48" t="str">
        <x:v>Playwright</x:v>
      </x:c>
      <x:c r="C48" t="str">
        <x:v>ORG-TC-LOGIN-003</x:v>
      </x:c>
      <x:c r="D48" t="str">
        <x:v>Mapped to manual</x:v>
      </x:c>
      <x:c r="E48" t="str">
        <x:v>Invalid username</x:v>
      </x:c>
      <x:c r="F48" t="str">
        <x:v>Not Executed</x:v>
      </x:c>
      <x:c r="G48" t="str"/>
      <x:c r="H48" t="str"/>
      <x:c r="I48" t="str"/>
      <x:c r="J48" t="str"/>
      <x:c r="K48" t="str"/>
      <x:c r="L48" t="str"/>
      <x:c r="M48" t="str"/>
    </x:row>
    <x:row r="49" ht="22" customHeight="1">
      <x:c r="A49" t="str">
        <x:v>PW-004</x:v>
      </x:c>
      <x:c r="B49" t="str">
        <x:v>Playwright</x:v>
      </x:c>
      <x:c r="C49" t="str">
        <x:v>ORG-TC-LOGIN-004,ORG-TC-LOGIN-010</x:v>
      </x:c>
      <x:c r="D49" t="str">
        <x:v>Mapped to manual</x:v>
      </x:c>
      <x:c r="E49" t="str">
        <x:v>Invalid password and message</x:v>
      </x:c>
      <x:c r="F49" t="str">
        <x:v>Not Executed</x:v>
      </x:c>
      <x:c r="G49" t="str"/>
      <x:c r="H49" t="str"/>
      <x:c r="I49" t="str"/>
      <x:c r="J49" t="str"/>
      <x:c r="K49" t="str"/>
      <x:c r="L49" t="str"/>
      <x:c r="M49" t="str"/>
    </x:row>
    <x:row r="50" ht="22" customHeight="1">
      <x:c r="A50" t="str">
        <x:v>PW-005</x:v>
      </x:c>
      <x:c r="B50" t="str">
        <x:v>Playwright</x:v>
      </x:c>
      <x:c r="C50" t="str">
        <x:v>ORG-TC-LOGIN-005</x:v>
      </x:c>
      <x:c r="D50" t="str">
        <x:v>Mapped to manual</x:v>
      </x:c>
      <x:c r="E50" t="str">
        <x:v>Both invalid</x:v>
      </x:c>
      <x:c r="F50" t="str">
        <x:v>Not Executed</x:v>
      </x:c>
      <x:c r="G50" t="str"/>
      <x:c r="H50" t="str"/>
      <x:c r="I50" t="str"/>
      <x:c r="J50" t="str"/>
      <x:c r="K50" t="str"/>
      <x:c r="L50" t="str"/>
      <x:c r="M50" t="str"/>
    </x:row>
    <x:row r="51" ht="22" customHeight="1">
      <x:c r="A51" t="str">
        <x:v>PW-006</x:v>
      </x:c>
      <x:c r="B51" t="str">
        <x:v>Playwright</x:v>
      </x:c>
      <x:c r="C51" t="str">
        <x:v>ORG-TC-LOGIN-006</x:v>
      </x:c>
      <x:c r="D51" t="str">
        <x:v>Mapped to manual</x:v>
      </x:c>
      <x:c r="E51" t="str">
        <x:v>Empty username</x:v>
      </x:c>
      <x:c r="F51" t="str">
        <x:v>Not Executed</x:v>
      </x:c>
      <x:c r="G51" t="str"/>
      <x:c r="H51" t="str"/>
      <x:c r="I51" t="str"/>
      <x:c r="J51" t="str"/>
      <x:c r="K51" t="str"/>
      <x:c r="L51" t="str"/>
      <x:c r="M51" t="str"/>
    </x:row>
    <x:row r="52" ht="22" customHeight="1">
      <x:c r="A52" t="str">
        <x:v>PW-007</x:v>
      </x:c>
      <x:c r="B52" t="str">
        <x:v>Playwright</x:v>
      </x:c>
      <x:c r="C52" t="str">
        <x:v>ORG-TC-LOGIN-007</x:v>
      </x:c>
      <x:c r="D52" t="str">
        <x:v>Mapped to manual</x:v>
      </x:c>
      <x:c r="E52" t="str">
        <x:v>Empty password</x:v>
      </x:c>
      <x:c r="F52" t="str">
        <x:v>Not Executed</x:v>
      </x:c>
      <x:c r="G52" t="str"/>
      <x:c r="H52" t="str"/>
      <x:c r="I52" t="str"/>
      <x:c r="J52" t="str"/>
      <x:c r="K52" t="str"/>
      <x:c r="L52" t="str"/>
      <x:c r="M52" t="str"/>
    </x:row>
    <x:row r="53" ht="22" customHeight="1">
      <x:c r="A53" t="str">
        <x:v>PW-008</x:v>
      </x:c>
      <x:c r="B53" t="str">
        <x:v>Playwright</x:v>
      </x:c>
      <x:c r="C53" t="str">
        <x:v>ORG-TC-LOGIN-008</x:v>
      </x:c>
      <x:c r="D53" t="str">
        <x:v>Mapped to manual</x:v>
      </x:c>
      <x:c r="E53" t="str">
        <x:v>Both blank</x:v>
      </x:c>
      <x:c r="F53" t="str">
        <x:v>Not Executed</x:v>
      </x:c>
      <x:c r="G53" t="str"/>
      <x:c r="H53" t="str"/>
      <x:c r="I53" t="str"/>
      <x:c r="J53" t="str"/>
      <x:c r="K53" t="str"/>
      <x:c r="L53" t="str"/>
      <x:c r="M53" t="str"/>
    </x:row>
    <x:row r="54" ht="22" customHeight="1">
      <x:c r="A54" t="str">
        <x:v>PW-009</x:v>
      </x:c>
      <x:c r="B54" t="str">
        <x:v>Playwright</x:v>
      </x:c>
      <x:c r="C54" t="str">
        <x:v>ORG-TC-LOGIN-009</x:v>
      </x:c>
      <x:c r="D54" t="str">
        <x:v>Mapped to manual</x:v>
      </x:c>
      <x:c r="E54" t="str">
        <x:v>Password masking</x:v>
      </x:c>
      <x:c r="F54" t="str">
        <x:v>Not Executed</x:v>
      </x:c>
      <x:c r="G54" t="str"/>
      <x:c r="H54" t="str"/>
      <x:c r="I54" t="str"/>
      <x:c r="J54" t="str"/>
      <x:c r="K54" t="str"/>
      <x:c r="L54" t="str"/>
      <x:c r="M54" t="str"/>
    </x:row>
    <x:row r="55" ht="22" customHeight="1">
      <x:c r="A55" t="str">
        <x:v>PW-010</x:v>
      </x:c>
      <x:c r="B55" t="str">
        <x:v>Playwright</x:v>
      </x:c>
      <x:c r="C55" t="str">
        <x:v>ORG-TC-LOGIN-012</x:v>
      </x:c>
      <x:c r="D55" t="str">
        <x:v>Mapped to manual</x:v>
      </x:c>
      <x:c r="E55" t="str">
        <x:v>Forgot password link</x:v>
      </x:c>
      <x:c r="F55" t="str">
        <x:v>Not Executed</x:v>
      </x:c>
      <x:c r="G55" t="str"/>
      <x:c r="H55" t="str"/>
      <x:c r="I55" t="str"/>
      <x:c r="J55" t="str"/>
      <x:c r="K55" t="str"/>
      <x:c r="L55" t="str"/>
      <x:c r="M55" t="str"/>
    </x:row>
    <x:row r="56" ht="22" customHeight="1">
      <x:c r="A56" t="str">
        <x:v>PW-011</x:v>
      </x:c>
      <x:c r="B56" t="str">
        <x:v>Playwright</x:v>
      </x:c>
      <x:c r="C56" t="str">
        <x:v>ORG-TC-LOGIN-013</x:v>
      </x:c>
      <x:c r="D56" t="str">
        <x:v>Mapped to manual</x:v>
      </x:c>
      <x:c r="E56" t="str">
        <x:v>Forgot password navigation</x:v>
      </x:c>
      <x:c r="F56" t="str">
        <x:v>Not Executed</x:v>
      </x:c>
      <x:c r="G56" t="str"/>
      <x:c r="H56" t="str"/>
      <x:c r="I56" t="str"/>
      <x:c r="J56" t="str"/>
      <x:c r="K56" t="str"/>
      <x:c r="L56" t="str"/>
      <x:c r="M56" t="str"/>
    </x:row>
    <x:row r="57" ht="22" customHeight="1">
      <x:c r="A57" t="str">
        <x:v>PW-012</x:v>
      </x:c>
      <x:c r="B57" t="str">
        <x:v>Playwright</x:v>
      </x:c>
      <x:c r="C57" t="str">
        <x:v>ORG-TC-LOGIN-015</x:v>
      </x:c>
      <x:c r="D57" t="str">
        <x:v>Mapped to manual</x:v>
      </x:c>
      <x:c r="E57" t="str">
        <x:v>Logout</x:v>
      </x:c>
      <x:c r="F57" t="str">
        <x:v>Not Executed</x:v>
      </x:c>
      <x:c r="G57" t="str"/>
      <x:c r="H57" t="str"/>
      <x:c r="I57" t="str"/>
      <x:c r="J57" t="str"/>
      <x:c r="K57" t="str"/>
      <x:c r="L57" t="str"/>
      <x:c r="M57" t="str"/>
    </x:row>
    <x:row r="58" ht="22" customHeight="1">
      <x:c r="A58" t="str">
        <x:v>API-001</x:v>
      </x:c>
      <x:c r="B58" t="str">
        <x:v>Postman</x:v>
      </x:c>
      <x:c r="C58" t="str">
        <x:v>API-TC-001</x:v>
      </x:c>
      <x:c r="D58" t="str">
        <x:v>API discovery / contract</x:v>
      </x:c>
      <x:c r="E58" t="str">
        <x:v>Directory listing with authorization</x:v>
      </x:c>
      <x:c r="F58" t="str">
        <x:v>Not Executed</x:v>
      </x:c>
      <x:c r="G58" t="str"/>
      <x:c r="H58" t="str"/>
      <x:c r="I58" t="str"/>
      <x:c r="J58" t="str"/>
      <x:c r="K58" t="str"/>
      <x:c r="L58" t="str"/>
      <x:c r="M58" t="str"/>
    </x:row>
    <x:row r="59" ht="22" customHeight="1">
      <x:c r="A59" t="str">
        <x:v>API-002</x:v>
      </x:c>
      <x:c r="B59" t="str">
        <x:v>Postman</x:v>
      </x:c>
      <x:c r="C59" t="str">
        <x:v>API-TC-002</x:v>
      </x:c>
      <x:c r="D59" t="str">
        <x:v>API discovery / contract</x:v>
      </x:c>
      <x:c r="E59" t="str">
        <x:v>Employee detail</x:v>
      </x:c>
      <x:c r="F59" t="str">
        <x:v>Not Executed</x:v>
      </x:c>
      <x:c r="G59" t="str"/>
      <x:c r="H59" t="str"/>
      <x:c r="I59" t="str"/>
      <x:c r="J59" t="str"/>
      <x:c r="K59" t="str"/>
      <x:c r="L59" t="str"/>
      <x:c r="M59" t="str"/>
    </x:row>
    <x:row r="60" ht="22" customHeight="1">
      <x:c r="A60" t="str">
        <x:v>API-003</x:v>
      </x:c>
      <x:c r="B60" t="str">
        <x:v>Postman</x:v>
      </x:c>
      <x:c r="C60" t="str">
        <x:v>API-TC-003</x:v>
      </x:c>
      <x:c r="D60" t="str">
        <x:v>API discovery / contract</x:v>
      </x:c>
      <x:c r="E60" t="str">
        <x:v>Admin user detail</x:v>
      </x:c>
      <x:c r="F60" t="str">
        <x:v>Not Executed</x:v>
      </x:c>
      <x:c r="G60" t="str"/>
      <x:c r="H60" t="str"/>
      <x:c r="I60" t="str"/>
      <x:c r="J60" t="str"/>
      <x:c r="K60" t="str"/>
      <x:c r="L60" t="str"/>
      <x:c r="M60" t="str"/>
    </x:row>
    <x:row r="61" ht="22" customHeight="1">
      <x:c r="A61" t="str">
        <x:v>API-004</x:v>
      </x:c>
      <x:c r="B61" t="str">
        <x:v>Postman</x:v>
      </x:c>
      <x:c r="C61" t="str">
        <x:v>API-TC-004</x:v>
      </x:c>
      <x:c r="D61" t="str">
        <x:v>API discovery / contract</x:v>
      </x:c>
      <x:c r="E61" t="str">
        <x:v>Directory without token</x:v>
      </x:c>
      <x:c r="F61" t="str">
        <x:v>Not Executed</x:v>
      </x:c>
      <x:c r="G61" t="str"/>
      <x:c r="H61" t="str"/>
      <x:c r="I61" t="str"/>
      <x:c r="J61" t="str"/>
      <x:c r="K61" t="str"/>
      <x:c r="L61" t="str"/>
      <x:c r="M61" t="str"/>
    </x:row>
    <x:row r="62" ht="22" customHeight="1">
      <x:c r="A62" t="str">
        <x:v>API-005</x:v>
      </x:c>
      <x:c r="B62" t="str">
        <x:v>Postman</x:v>
      </x:c>
      <x:c r="C62" t="str">
        <x:v>API-TC-005</x:v>
      </x:c>
      <x:c r="D62" t="str">
        <x:v>API discovery / contract</x:v>
      </x:c>
      <x:c r="E62" t="str">
        <x:v>Missing employee</x:v>
      </x:c>
      <x:c r="F62" t="str">
        <x:v>Not Executed</x:v>
      </x:c>
      <x:c r="G62" t="str"/>
      <x:c r="H62" t="str"/>
      <x:c r="I62" t="str"/>
      <x:c r="J62" t="str"/>
      <x:c r="K62" t="str"/>
      <x:c r="L62" t="str"/>
      <x:c r="M62" t="str"/>
    </x:row>
    <x:row r="63" ht="22" customHeight="1">
      <x:c r="A63" t="str">
        <x:v>API-006</x:v>
      </x:c>
      <x:c r="B63" t="str">
        <x:v>Postman</x:v>
      </x:c>
      <x:c r="C63" t="str">
        <x:v>API-TC-006</x:v>
      </x:c>
      <x:c r="D63" t="str">
        <x:v>API discovery / contract</x:v>
      </x:c>
      <x:c r="E63" t="str">
        <x:v>Missing admin user</x:v>
      </x:c>
      <x:c r="F63" t="str">
        <x:v>Not Executed</x:v>
      </x:c>
      <x:c r="G63" t="str"/>
      <x:c r="H63" t="str"/>
      <x:c r="I63" t="str"/>
      <x:c r="J63" t="str"/>
      <x:c r="K63" t="str"/>
      <x:c r="L63" t="str"/>
      <x:c r="M63" t="str"/>
    </x:row>
    <x:row r="64" ht="22" customHeight="1">
      <x:c r="A64" t="str">
        <x:v>API-007</x:v>
      </x:c>
      <x:c r="B64" t="str">
        <x:v>Postman</x:v>
      </x:c>
      <x:c r="C64" t="str">
        <x:v>API-TC-007</x:v>
      </x:c>
      <x:c r="D64" t="str">
        <x:v>API discovery / contract</x:v>
      </x:c>
      <x:c r="E64" t="str">
        <x:v>Invalid bearer token</x:v>
      </x:c>
      <x:c r="F64" t="str">
        <x:v>Not Executed</x:v>
      </x:c>
      <x:c r="G64" t="str"/>
      <x:c r="H64" t="str"/>
      <x:c r="I64" t="str"/>
      <x:c r="J64" t="str"/>
      <x:c r="K64" t="str"/>
      <x:c r="L64" t="str"/>
      <x:c r="M64" t="str"/>
    </x:row>
    <x:row r="65" ht="22" customHeight="1">
      <x:c r="A65" t="str">
        <x:v>SQL-001</x:v>
      </x:c>
      <x:c r="B65" t="str">
        <x:v>SQL Live (authorized)</x:v>
      </x:c>
      <x:c r="C65" t="str">
        <x:v>SQL-TC-001</x:v>
      </x:c>
      <x:c r="D65" t="str">
        <x:v>Sample-schema mapping</x:v>
      </x:c>
      <x:c r="E65" t="str">
        <x:v>Active user</x:v>
      </x:c>
      <x:c r="F65" t="str">
        <x:v>Not Executed</x:v>
      </x:c>
      <x:c r="G65" t="str"/>
      <x:c r="H65" t="str"/>
      <x:c r="I65" t="str"/>
      <x:c r="J65" t="str"/>
      <x:c r="K65" t="str"/>
      <x:c r="L65" t="str"/>
      <x:c r="M65" t="str"/>
    </x:row>
    <x:row r="66" ht="22" customHeight="1">
      <x:c r="A66" t="str">
        <x:v>SQL-002</x:v>
      </x:c>
      <x:c r="B66" t="str">
        <x:v>SQL Live (authorized)</x:v>
      </x:c>
      <x:c r="C66" t="str">
        <x:v>SQL-TC-002</x:v>
      </x:c>
      <x:c r="D66" t="str">
        <x:v>Sample-schema mapping</x:v>
      </x:c>
      <x:c r="E66" t="str">
        <x:v>Invalid username lookup</x:v>
      </x:c>
      <x:c r="F66" t="str">
        <x:v>Not Executed</x:v>
      </x:c>
      <x:c r="G66" t="str"/>
      <x:c r="H66" t="str"/>
      <x:c r="I66" t="str"/>
      <x:c r="J66" t="str"/>
      <x:c r="K66" t="str"/>
      <x:c r="L66" t="str"/>
      <x:c r="M66" t="str"/>
    </x:row>
    <x:row r="67" ht="22" customHeight="1">
      <x:c r="A67" t="str">
        <x:v>SQL-003</x:v>
      </x:c>
      <x:c r="B67" t="str">
        <x:v>SQL Live (authorized)</x:v>
      </x:c>
      <x:c r="C67" t="str">
        <x:v>SQL-TC-003</x:v>
      </x:c>
      <x:c r="D67" t="str">
        <x:v>Sample-schema mapping</x:v>
      </x:c>
      <x:c r="E67" t="str">
        <x:v>Disabled user</x:v>
      </x:c>
      <x:c r="F67" t="str">
        <x:v>Not Executed</x:v>
      </x:c>
      <x:c r="G67" t="str"/>
      <x:c r="H67" t="str"/>
      <x:c r="I67" t="str"/>
      <x:c r="J67" t="str"/>
      <x:c r="K67" t="str"/>
      <x:c r="L67" t="str"/>
      <x:c r="M67" t="str"/>
    </x:row>
    <x:row r="68" ht="22" customHeight="1">
      <x:c r="A68" t="str">
        <x:v>SQL-004</x:v>
      </x:c>
      <x:c r="B68" t="str">
        <x:v>SQL Live (authorized)</x:v>
      </x:c>
      <x:c r="C68" t="str">
        <x:v>SQL-TC-004</x:v>
      </x:c>
      <x:c r="D68" t="str">
        <x:v>Sample-schema mapping</x:v>
      </x:c>
      <x:c r="E68" t="str">
        <x:v>Deleted user</x:v>
      </x:c>
      <x:c r="F68" t="str">
        <x:v>Not Executed</x:v>
      </x:c>
      <x:c r="G68" t="str"/>
      <x:c r="H68" t="str"/>
      <x:c r="I68" t="str"/>
      <x:c r="J68" t="str"/>
      <x:c r="K68" t="str"/>
      <x:c r="L68" t="str"/>
      <x:c r="M68" t="str"/>
    </x:row>
    <x:row r="69" ht="22" customHeight="1">
      <x:c r="A69" t="str">
        <x:v>SQL-005</x:v>
      </x:c>
      <x:c r="B69" t="str">
        <x:v>SQL Live (authorized)</x:v>
      </x:c>
      <x:c r="C69" t="str">
        <x:v>SQL-TC-005</x:v>
      </x:c>
      <x:c r="D69" t="str">
        <x:v>Sample-schema mapping</x:v>
      </x:c>
      <x:c r="E69" t="str">
        <x:v>Duplicate username</x:v>
      </x:c>
      <x:c r="F69" t="str">
        <x:v>Not Executed</x:v>
      </x:c>
      <x:c r="G69" t="str"/>
      <x:c r="H69" t="str"/>
      <x:c r="I69" t="str"/>
      <x:c r="J69" t="str"/>
      <x:c r="K69" t="str"/>
      <x:c r="L69" t="str"/>
      <x:c r="M69" t="str"/>
    </x:row>
    <x:row r="70" ht="22" customHeight="1">
      <x:c r="A70" t="str">
        <x:v>SQL-006</x:v>
      </x:c>
      <x:c r="B70" t="str">
        <x:v>SQL Live (authorized)</x:v>
      </x:c>
      <x:c r="C70" t="str">
        <x:v>SQL-TC-006</x:v>
      </x:c>
      <x:c r="D70" t="str">
        <x:v>Sample-schema mapping</x:v>
      </x:c>
      <x:c r="E70" t="str">
        <x:v>Empty/null usernames</x:v>
      </x:c>
      <x:c r="F70" t="str">
        <x:v>Not Executed</x:v>
      </x:c>
      <x:c r="G70" t="str"/>
      <x:c r="H70" t="str"/>
      <x:c r="I70" t="str"/>
      <x:c r="J70" t="str"/>
      <x:c r="K70" t="str"/>
      <x:c r="L70" t="str"/>
      <x:c r="M70" t="str"/>
    </x:row>
    <x:row r="71" ht="22" customHeight="1">
      <x:c r="A71" t="str">
        <x:v>SQL-007</x:v>
      </x:c>
      <x:c r="B71" t="str">
        <x:v>SQL Live (authorized)</x:v>
      </x:c>
      <x:c r="C71" t="str">
        <x:v>SQL-TC-007</x:v>
      </x:c>
      <x:c r="D71" t="str">
        <x:v>Sample-schema mapping</x:v>
      </x:c>
      <x:c r="E71" t="str">
        <x:v>Role mapping</x:v>
      </x:c>
      <x:c r="F71" t="str">
        <x:v>Not Executed</x:v>
      </x:c>
      <x:c r="G71" t="str"/>
      <x:c r="H71" t="str"/>
      <x:c r="I71" t="str"/>
      <x:c r="J71" t="str"/>
      <x:c r="K71" t="str"/>
      <x:c r="L71" t="str"/>
      <x:c r="M71" t="str"/>
    </x:row>
    <x:row r="72" ht="22" customHeight="1">
      <x:c r="A72" t="str">
        <x:v>SQL-008</x:v>
      </x:c>
      <x:c r="B72" t="str">
        <x:v>SQL Live (authorized)</x:v>
      </x:c>
      <x:c r="C72" t="str">
        <x:v>SQL-TC-008</x:v>
      </x:c>
      <x:c r="D72" t="str">
        <x:v>Sample-schema mapping</x:v>
      </x:c>
      <x:c r="E72" t="str">
        <x:v>Employee-user link</x:v>
      </x:c>
      <x:c r="F72" t="str">
        <x:v>Not Executed</x:v>
      </x:c>
      <x:c r="G72" t="str"/>
      <x:c r="H72" t="str"/>
      <x:c r="I72" t="str"/>
      <x:c r="J72" t="str"/>
      <x:c r="K72" t="str"/>
      <x:c r="L72" t="str"/>
      <x:c r="M72" t="str"/>
    </x:row>
    <x:row r="73" ht="22" customHeight="1">
      <x:c r="A73" t="str">
        <x:v>SQL-009</x:v>
      </x:c>
      <x:c r="B73" t="str">
        <x:v>SQL Live (authorized)</x:v>
      </x:c>
      <x:c r="C73" t="str">
        <x:v>SQL-TC-009</x:v>
      </x:c>
      <x:c r="D73" t="str">
        <x:v>Sample-schema mapping</x:v>
      </x:c>
      <x:c r="E73" t="str">
        <x:v>Failed login count</x:v>
      </x:c>
      <x:c r="F73" t="str">
        <x:v>Not Executed</x:v>
      </x:c>
      <x:c r="G73" t="str"/>
      <x:c r="H73" t="str"/>
      <x:c r="I73" t="str"/>
      <x:c r="J73" t="str"/>
      <x:c r="K73" t="str"/>
      <x:c r="L73" t="str"/>
      <x:c r="M73" t="str"/>
    </x:row>
    <x:row r="74" ht="22" customHeight="1">
      <x:c r="A74" t="str">
        <x:v>SQL-010</x:v>
      </x:c>
      <x:c r="B74" t="str">
        <x:v>SQL Live (authorized)</x:v>
      </x:c>
      <x:c r="C74" t="str">
        <x:v>SQL-TC-010</x:v>
      </x:c>
      <x:c r="D74" t="str">
        <x:v>Sample-schema mapping</x:v>
      </x:c>
      <x:c r="E74" t="str">
        <x:v>Active session</x:v>
      </x:c>
      <x:c r="F74" t="str">
        <x:v>Not Executed</x:v>
      </x:c>
      <x:c r="G74" t="str"/>
      <x:c r="H74" t="str"/>
      <x:c r="I74" t="str"/>
      <x:c r="J74" t="str"/>
      <x:c r="K74" t="str"/>
      <x:c r="L74" t="str"/>
      <x:c r="M74" t="str"/>
    </x:row>
    <x:row r="75" ht="22" customHeight="1">
      <x:c r="A75" t="str">
        <x:v>SQL-011</x:v>
      </x:c>
      <x:c r="B75" t="str">
        <x:v>SQL Live (authorized)</x:v>
      </x:c>
      <x:c r="C75" t="str">
        <x:v>SQL-TC-011</x:v>
      </x:c>
      <x:c r="D75" t="str">
        <x:v>Sample-schema mapping</x:v>
      </x:c>
      <x:c r="E75" t="str">
        <x:v>Revoked session</x:v>
      </x:c>
      <x:c r="F75" t="str">
        <x:v>Not Executed</x:v>
      </x:c>
      <x:c r="G75" t="str"/>
      <x:c r="H75" t="str"/>
      <x:c r="I75" t="str"/>
      <x:c r="J75" t="str"/>
      <x:c r="K75" t="str"/>
      <x:c r="L75" t="str"/>
      <x:c r="M75" t="str"/>
    </x:row>
    <x:row r="76" ht="22" customHeight="1">
      <x:c r="A76" t="str">
        <x:v>SQL-012</x:v>
      </x:c>
      <x:c r="B76" t="str">
        <x:v>SQL Live (authorized)</x:v>
      </x:c>
      <x:c r="C76" t="str">
        <x:v>SQL-TC-012</x:v>
      </x:c>
      <x:c r="D76" t="str">
        <x:v>Sample-schema mapping</x:v>
      </x:c>
      <x:c r="E76" t="str">
        <x:v>Password reset state</x:v>
      </x:c>
      <x:c r="F76" t="str">
        <x:v>Not Executed</x:v>
      </x:c>
      <x:c r="G76" t="str"/>
      <x:c r="H76" t="str"/>
      <x:c r="I76" t="str"/>
      <x:c r="J76" t="str"/>
      <x:c r="K76" t="str"/>
      <x:c r="L76" t="str"/>
      <x:c r="M76" t="str"/>
    </x:row>
    <x:row r="77" ht="22" customHeight="1">
      <x:c r="A77" t="str">
        <x:v>SQL-013</x:v>
      </x:c>
      <x:c r="B77" t="str">
        <x:v>SQL Live (authorized)</x:v>
      </x:c>
      <x:c r="C77" t="str">
        <x:v>SQL-TC-013</x:v>
      </x:c>
      <x:c r="D77" t="str">
        <x:v>Sample-schema mapping</x:v>
      </x:c>
      <x:c r="E77" t="str">
        <x:v>Orphan role mappings</x:v>
      </x:c>
      <x:c r="F77" t="str">
        <x:v>Not Executed</x:v>
      </x:c>
      <x:c r="G77" t="str"/>
      <x:c r="H77" t="str"/>
      <x:c r="I77" t="str"/>
      <x:c r="J77" t="str"/>
      <x:c r="K77" t="str"/>
      <x:c r="L77" t="str"/>
      <x:c r="M77" t="str"/>
    </x:row>
    <x:row r="78" ht="22" customHeight="1">
      <x:c r="A78" t="str">
        <x:v>SQL-014</x:v>
      </x:c>
      <x:c r="B78" t="str">
        <x:v>SQL Live (authorized)</x:v>
      </x:c>
      <x:c r="C78" t="str">
        <x:v>SQL-TC-014</x:v>
      </x:c>
      <x:c r="D78" t="str">
        <x:v>Sample-schema mapping</x:v>
      </x:c>
      <x:c r="E78" t="str">
        <x:v>Role count</x:v>
      </x:c>
      <x:c r="F78" t="str">
        <x:v>Not Executed</x:v>
      </x:c>
      <x:c r="G78" t="str"/>
      <x:c r="H78" t="str"/>
      <x:c r="I78" t="str"/>
      <x:c r="J78" t="str"/>
      <x:c r="K78" t="str"/>
      <x:c r="L78" t="str"/>
      <x:c r="M78" t="str"/>
    </x:row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  <x:row r="201" ht="22" customHeight="1"/>
  </x:sheetData>
  <x:conditionalFormatting sqref="F2:F201">
    <x:cfRule type="expression" dxfId="0" priority="1">
      <x:formula>F2="Fail"</x:formula>
    </x:cfRule>
    <x:cfRule type="expression" dxfId="1" priority="2">
      <x:formula>F2="Pass"</x:formula>
    </x:cfRule>
    <x:cfRule type="expression" dxfId="2" priority="3">
      <x:formula>F2="Blocked"</x:formula>
    </x:cfRule>
  </x:conditionalFormatting>
  <x:dataValidations count="1">
    <x:dataValidation type="list" sqref="F2:F201">
      <x:formula1>"Not Executed,Pass,Fail,Blocked,Not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7" hidden="0" customWidth="1"/>
    <x:col min="9" max="9" width="17" hidden="0" customWidth="1"/>
    <x:col min="10" max="10" width="17" hidden="0" customWidth="1"/>
    <x:col min="11" max="11" width="36" hidden="0" customWidth="1"/>
    <x:col min="12" max="12" width="18" hidden="0" customWidth="1"/>
  </x:cols>
  <x:sheetData>
    <x:row r="1" ht="31" customHeight="1">
      <x:c r="A1" s="4" t="str">
        <x:v>Bug ID</x:v>
      </x:c>
      <x:c r="B1" s="4" t="str">
        <x:v>Linked Execution ID</x:v>
      </x:c>
      <x:c r="C1" s="4" t="str">
        <x:v>Linked Case ID</x:v>
      </x:c>
      <x:c r="D1" s="4" t="str">
        <x:v>Description</x:v>
      </x:c>
      <x:c r="E1" s="4" t="str">
        <x:v>Steps to Reproduce</x:v>
      </x:c>
      <x:c r="F1" s="4" t="str">
        <x:v>Actual Result</x:v>
      </x:c>
      <x:c r="G1" s="4" t="str">
        <x:v>Expected Result</x:v>
      </x:c>
      <x:c r="H1" s="4" t="str">
        <x:v>Severity</x:v>
      </x:c>
      <x:c r="I1" s="4" t="str">
        <x:v>Priority</x:v>
      </x:c>
      <x:c r="J1" s="4" t="str">
        <x:v>Status</x:v>
      </x:c>
      <x:c r="K1" s="4" t="str">
        <x:v>Evidence</x:v>
      </x:c>
      <x:c r="L1" s="4" t="str">
        <x:v>Date Logged</x:v>
      </x:c>
    </x:row>
  </x:sheetData>
  <x:dataValidations count="3">
    <x:dataValidation type="list" sqref="H2:H101">
      <x:formula1>"Critical,High,Medium,Low"</x:formula1>
    </x:dataValidation>
    <x:dataValidation type="list" sqref="I2:I101">
      <x:formula1>"P0,P1,P2,P3"</x:formula1>
    </x:dataValidation>
    <x:dataValidation type="list" sqref="J2:J101">
      <x:formula1>"New,Open,In Progress,Fixed,Retest,Reopened,Closed,Rejected"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53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>
      <x:c r="A1" s="3" t="str">
        <x:v>Run ID</x:v>
      </x:c>
      <x:c r="B1" s="3" t="str">
        <x:v>Stream</x:v>
      </x:c>
      <x:c r="C1" s="3" t="str">
        <x:v>Suite / Scope</x:v>
      </x:c>
      <x:c r="D1" s="3" t="str">
        <x:v>Environment / URL</x:v>
      </x:c>
      <x:c r="E1" s="3" t="str">
        <x:v>Browser + Version</x:v>
      </x:c>
      <x:c r="F1" s="3" t="str">
        <x:v>Build / Commit</x:v>
      </x:c>
      <x:c r="G1" s="3" t="str">
        <x:v>Start Date</x:v>
      </x:c>
      <x:c r="H1" s="3" t="str">
        <x:v>Owner</x:v>
      </x:c>
    </x:row>
    <x:row r="2">
      <x:c r="A2" t="str">
        <x:v>RUN-YYYYMMDD-01</x:v>
      </x:c>
      <x:c r="B2" t="str">
        <x:v>Manual</x:v>
      </x:c>
      <x:c r="C2" t="str">
        <x:v>Smoke / Critical / Full</x:v>
      </x:c>
      <x:c r="D2" t="str">
        <x:v>https://opensource-demo.orangehrmlive.com/</x:v>
      </x:c>
      <x:c r="E2" t="str">
        <x:v>Not recorded</x:v>
      </x:c>
      <x:c r="F2" t="str">
        <x:v>Not recorded</x:v>
      </x:c>
      <x:c r="G2"/>
      <x:c r="H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0" hidden="0" customWidth="1"/>
    <x:col min="3" max="3" width="24" hidden="0" customWidth="1"/>
    <x:col min="4" max="4" width="24" hidden="0" customWidth="1"/>
    <x:col min="5" max="5" width="40" hidden="0" customWidth="1"/>
    <x:col min="6" max="6" width="40" hidden="0" customWidth="1"/>
  </x:cols>
  <x:sheetData>
    <x:row r="1">
      <x:c r="A1" s="3" t="str">
        <x:v>SQL Check ID</x:v>
      </x:c>
      <x:c r="B1" s="3" t="str">
        <x:v>Sample Database Check</x:v>
      </x:c>
      <x:c r="C1" s="3" t="str">
        <x:v>Execution Scope</x:v>
      </x:c>
      <x:c r="D1" s="3" t="str">
        <x:v>Status</x:v>
      </x:c>
      <x:c r="E1" s="3" t="str">
        <x:v>Evidence</x:v>
      </x:c>
      <x:c r="F1" s="3" t="str">
        <x:v>Notes</x:v>
      </x:c>
    </x:row>
    <x:row r="2">
      <x:c r="A2" t="str">
        <x:v>SQL-TC-001</x:v>
      </x:c>
      <x:c r="B2" t="str">
        <x:v>Active user</x:v>
      </x:c>
      <x:c r="C2" t="str">
        <x:v>Synthetic SQLite fixture</x:v>
      </x:c>
      <x:c r="D2" t="str">
        <x:v>Not Re-run</x:v>
      </x:c>
      <x:c r="E2" t="str"/>
      <x:c r="F2" t="str">
        <x:v>Prior portfolio note reported 14/14 synthetic checks; not a live OrangeHRM result.</x:v>
      </x:c>
    </x:row>
    <x:row r="3">
      <x:c r="A3" t="str">
        <x:v>SQL-TC-002</x:v>
      </x:c>
      <x:c r="B3" t="str">
        <x:v>Invalid username lookup</x:v>
      </x:c>
      <x:c r="C3" t="str">
        <x:v>Synthetic SQLite fixture</x:v>
      </x:c>
      <x:c r="D3" t="str">
        <x:v>Not Re-run</x:v>
      </x:c>
      <x:c r="E3" t="str"/>
      <x:c r="F3" t="str">
        <x:v>Prior portfolio note reported 14/14 synthetic checks; not a live OrangeHRM result.</x:v>
      </x:c>
    </x:row>
    <x:row r="4">
      <x:c r="A4" t="str">
        <x:v>SQL-TC-003</x:v>
      </x:c>
      <x:c r="B4" t="str">
        <x:v>Disabled user</x:v>
      </x:c>
      <x:c r="C4" t="str">
        <x:v>Synthetic SQLite fixture</x:v>
      </x:c>
      <x:c r="D4" t="str">
        <x:v>Not Re-run</x:v>
      </x:c>
      <x:c r="E4" t="str"/>
      <x:c r="F4" t="str">
        <x:v>Prior portfolio note reported 14/14 synthetic checks; not a live OrangeHRM result.</x:v>
      </x:c>
    </x:row>
    <x:row r="5">
      <x:c r="A5" t="str">
        <x:v>SQL-TC-004</x:v>
      </x:c>
      <x:c r="B5" t="str">
        <x:v>Deleted user</x:v>
      </x:c>
      <x:c r="C5" t="str">
        <x:v>Synthetic SQLite fixture</x:v>
      </x:c>
      <x:c r="D5" t="str">
        <x:v>Not Re-run</x:v>
      </x:c>
      <x:c r="E5" t="str"/>
      <x:c r="F5" t="str">
        <x:v>Prior portfolio note reported 14/14 synthetic checks; not a live OrangeHRM result.</x:v>
      </x:c>
    </x:row>
    <x:row r="6">
      <x:c r="A6" t="str">
        <x:v>SQL-TC-005</x:v>
      </x:c>
      <x:c r="B6" t="str">
        <x:v>Duplicate username</x:v>
      </x:c>
      <x:c r="C6" t="str">
        <x:v>Synthetic SQLite fixture</x:v>
      </x:c>
      <x:c r="D6" t="str">
        <x:v>Not Re-run</x:v>
      </x:c>
      <x:c r="E6" t="str"/>
      <x:c r="F6" t="str">
        <x:v>Prior portfolio note reported 14/14 synthetic checks; not a live OrangeHRM result.</x:v>
      </x:c>
    </x:row>
    <x:row r="7">
      <x:c r="A7" t="str">
        <x:v>SQL-TC-006</x:v>
      </x:c>
      <x:c r="B7" t="str">
        <x:v>Empty/null usernames</x:v>
      </x:c>
      <x:c r="C7" t="str">
        <x:v>Synthetic SQLite fixture</x:v>
      </x:c>
      <x:c r="D7" t="str">
        <x:v>Not Re-run</x:v>
      </x:c>
      <x:c r="E7" t="str"/>
      <x:c r="F7" t="str">
        <x:v>Prior portfolio note reported 14/14 synthetic checks; not a live OrangeHRM result.</x:v>
      </x:c>
    </x:row>
    <x:row r="8">
      <x:c r="A8" t="str">
        <x:v>SQL-TC-007</x:v>
      </x:c>
      <x:c r="B8" t="str">
        <x:v>Role mapping</x:v>
      </x:c>
      <x:c r="C8" t="str">
        <x:v>Synthetic SQLite fixture</x:v>
      </x:c>
      <x:c r="D8" t="str">
        <x:v>Not Re-run</x:v>
      </x:c>
      <x:c r="E8" t="str"/>
      <x:c r="F8" t="str">
        <x:v>Prior portfolio note reported 14/14 synthetic checks; not a live OrangeHRM result.</x:v>
      </x:c>
    </x:row>
    <x:row r="9">
      <x:c r="A9" t="str">
        <x:v>SQL-TC-008</x:v>
      </x:c>
      <x:c r="B9" t="str">
        <x:v>Employee-user link</x:v>
      </x:c>
      <x:c r="C9" t="str">
        <x:v>Synthetic SQLite fixture</x:v>
      </x:c>
      <x:c r="D9" t="str">
        <x:v>Not Re-run</x:v>
      </x:c>
      <x:c r="E9" t="str"/>
      <x:c r="F9" t="str">
        <x:v>Prior portfolio note reported 14/14 synthetic checks; not a live OrangeHRM result.</x:v>
      </x:c>
    </x:row>
    <x:row r="10">
      <x:c r="A10" t="str">
        <x:v>SQL-TC-009</x:v>
      </x:c>
      <x:c r="B10" t="str">
        <x:v>Failed login count</x:v>
      </x:c>
      <x:c r="C10" t="str">
        <x:v>Synthetic SQLite fixture</x:v>
      </x:c>
      <x:c r="D10" t="str">
        <x:v>Not Re-run</x:v>
      </x:c>
      <x:c r="E10" t="str"/>
      <x:c r="F10" t="str">
        <x:v>Prior portfolio note reported 14/14 synthetic checks; not a live OrangeHRM result.</x:v>
      </x:c>
    </x:row>
    <x:row r="11">
      <x:c r="A11" t="str">
        <x:v>SQL-TC-010</x:v>
      </x:c>
      <x:c r="B11" t="str">
        <x:v>Active session</x:v>
      </x:c>
      <x:c r="C11" t="str">
        <x:v>Synthetic SQLite fixture</x:v>
      </x:c>
      <x:c r="D11" t="str">
        <x:v>Not Re-run</x:v>
      </x:c>
      <x:c r="E11" t="str"/>
      <x:c r="F11" t="str">
        <x:v>Prior portfolio note reported 14/14 synthetic checks; not a live OrangeHRM result.</x:v>
      </x:c>
    </x:row>
    <x:row r="12">
      <x:c r="A12" t="str">
        <x:v>SQL-TC-011</x:v>
      </x:c>
      <x:c r="B12" t="str">
        <x:v>Revoked session</x:v>
      </x:c>
      <x:c r="C12" t="str">
        <x:v>Synthetic SQLite fixture</x:v>
      </x:c>
      <x:c r="D12" t="str">
        <x:v>Not Re-run</x:v>
      </x:c>
      <x:c r="E12" t="str"/>
      <x:c r="F12" t="str">
        <x:v>Prior portfolio note reported 14/14 synthetic checks; not a live OrangeHRM result.</x:v>
      </x:c>
    </x:row>
    <x:row r="13">
      <x:c r="A13" t="str">
        <x:v>SQL-TC-012</x:v>
      </x:c>
      <x:c r="B13" t="str">
        <x:v>Password reset state</x:v>
      </x:c>
      <x:c r="C13" t="str">
        <x:v>Synthetic SQLite fixture</x:v>
      </x:c>
      <x:c r="D13" t="str">
        <x:v>Not Re-run</x:v>
      </x:c>
      <x:c r="E13" t="str"/>
      <x:c r="F13" t="str">
        <x:v>Prior portfolio note reported 14/14 synthetic checks; not a live OrangeHRM result.</x:v>
      </x:c>
    </x:row>
    <x:row r="14">
      <x:c r="A14" t="str">
        <x:v>SQL-TC-013</x:v>
      </x:c>
      <x:c r="B14" t="str">
        <x:v>Orphan role mappings</x:v>
      </x:c>
      <x:c r="C14" t="str">
        <x:v>Synthetic SQLite fixture</x:v>
      </x:c>
      <x:c r="D14" t="str">
        <x:v>Not Re-run</x:v>
      </x:c>
      <x:c r="E14" t="str"/>
      <x:c r="F14" t="str">
        <x:v>Prior portfolio note reported 14/14 synthetic checks; not a live OrangeHRM result.</x:v>
      </x:c>
    </x:row>
    <x:row r="15">
      <x:c r="A15" t="str">
        <x:v>SQL-TC-014</x:v>
      </x:c>
      <x:c r="B15" t="str">
        <x:v>Role count</x:v>
      </x:c>
      <x:c r="C15" t="str">
        <x:v>Synthetic SQLite fixture</x:v>
      </x:c>
      <x:c r="D15" t="str">
        <x:v>Not Re-run</x:v>
      </x:c>
      <x:c r="E15" t="str"/>
      <x:c r="F15" t="str">
        <x:v>Prior portfolio note reported 14/14 synthetic checks; not a live OrangeHRM result.</x:v>
      </x:c>
    </x:row>
  </x:sheetData>
  <x:dataValidations count="1">
    <x:dataValidation type="list" sqref="D2:D30">
      <x:formula1>"Not Re-run,Fixture Pass,Fixture Fail,Blocked"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3" t="str">
        <x:v>Workflow</x:v>
      </x:c>
      <x:c r="B1" s="3" t="str">
        <x:v>Instruction</x:v>
      </x:c>
    </x:row>
    <x:row r="2">
      <x:c r="A2" t="str">
        <x:v>1 — Create run</x:v>
      </x:c>
      <x:c r="B2" s="20" t="str">
        <x:v>Add run metadata to Run Register before starting.</x:v>
      </x:c>
    </x:row>
    <x:row r="3">
      <x:c r="A3" t="str">
        <x:v>2 — Execute</x:v>
      </x:c>
      <x:c r="B3" s="20" t="str">
        <x:v>Open original cases in 03-test-cases / 08-postman-api-tests / 09-sql-validation / 10-selenium-java / 11-playwright-agentic-ai.</x:v>
      </x:c>
    </x:row>
    <x:row r="4">
      <x:c r="A4" t="str">
        <x:v>3 — Record status</x:v>
      </x:c>
      <x:c r="B4" s="20" t="str">
        <x:v>Change Not Executed only after observing outcome; use Blocked for missing authorization/test infrastructure.</x:v>
      </x:c>
    </x:row>
    <x:row r="5">
      <x:c r="A5" t="str">
        <x:v>4 — Capture evidence</x:v>
      </x:c>
      <x:c r="B5" s="20" t="str">
        <x:v>Save sanitized HTML, XML, screenshots, Postman outputs with stable relative paths.</x:v>
      </x:c>
    </x:row>
    <x:row r="6">
      <x:c r="A6" t="str">
        <x:v>5 — Link defect</x:v>
      </x:c>
      <x:c r="B6" s="20" t="str">
        <x:v>Record verified defects under Defect Register and 06-bug-reports, using same ID.</x:v>
      </x:c>
    </x:row>
    <x:row r="7">
      <x:c r="A7" t="str">
        <x:v>6 — Review metrics</x:v>
      </x:c>
      <x:c r="B7" s="20" t="str">
        <x:v>Dashboard derives counts from Execution Log, never typed manually.</x:v>
      </x:c>
    </x:row>
    <x:row r="8">
      <x:c r="A8" t="str">
        <x:v>7 — Fixture limitation</x:v>
      </x:c>
      <x:c r="B8" s="20" t="str">
        <x:v>The SQL Fixture Checks sheet is synthetic and separate from live database execution.</x:v>
      </x:c>
    </x:row>
    <x:row r="9">
      <x:c r="A9" t="str">
        <x:v>8 — Git</x:v>
      </x:c>
      <x:c r="B9" s="20" t="str">
        <x:v>Avoid committing credentials, cookies, tokens, large raw traces or personal information.</x:v>
      </x:c>
    </x:row>
    <x:row r="10">
      <x:c r="A10" t="str">
        <x:v>9 — Consolidation</x:v>
      </x:c>
      <x:c r="B10" s="20" t="str">
        <x:v>One row per test per stream; multiple runs can be kept as separate copies of workbook.</x:v>
      </x:c>
    </x:row>
    <x:row r="11">
      <x:c r="B11" s="20"/>
    </x:row>
  </x:sheetData>
  <x:pageMargins left="0.7" right="0.7" top="0.75" bottom="0.75" header="0.3" footer="0.3"/>
</x:worksheet>
</file>