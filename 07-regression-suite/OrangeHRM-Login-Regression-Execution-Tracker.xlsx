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1f69439f8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f7a835c32594be8"/>
    <x:sheet xmlns:r="http://schemas.openxmlformats.org/officeDocument/2006/relationships" name="Cases" sheetId="2" r:id="R9518a4a9c8464710"/>
    <x:sheet xmlns:r="http://schemas.openxmlformats.org/officeDocument/2006/relationships" name="Instructions" sheetId="3" r:id="R2a62de903d66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63A6"/>
      </x:patternFill>
    </x:fill>
    <x:fill>
      <x:patternFill patternType="solid">
        <x:fgColor rgb="FFEAF2FA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4c106227345d1" /><Relationship Type="http://schemas.openxmlformats.org/officeDocument/2006/relationships/theme" Target="/xl/theme/theme1.xml" Id="R92018404d2d84a44" /><Relationship Type="http://schemas.openxmlformats.org/officeDocument/2006/relationships/sharedStrings" Target="/xl/sharedStrings.xml" Id="Rdfd206670a7d4c5e" /><Relationship Type="http://schemas.openxmlformats.org/officeDocument/2006/relationships/worksheet" Target="/xl/worksheets/sheet1.xml" Id="Rff7a835c32594be8" /><Relationship Type="http://schemas.openxmlformats.org/officeDocument/2006/relationships/worksheet" Target="/xl/worksheets/sheet2.xml" Id="R9518a4a9c8464710" /><Relationship Type="http://schemas.openxmlformats.org/officeDocument/2006/relationships/worksheet" Target="/xl/worksheets/sheet3.xml" Id="R2a62de903d6644ee" /></Relationships>
</file>

<file path=xl/tables/table1.xml><?xml version="1.0" encoding="utf-8"?>
<x:table xmlns:x="http://schemas.openxmlformats.org/spreadsheetml/2006/main" id="1" name="RegressionCases" displayName="RegressionCases" ref="A1:M33" headerRowCount="1" totalsRowCount="0" totalsRowShown="0">
  <x:tableColumns count="13">
    <x:tableColumn id="1" name="Test Case ID"/>
    <x:tableColumn id="2" name="Scenario ID"/>
    <x:tableColumn id="3" name="Requirement ID"/>
    <x:tableColumn id="4" name="Test Description"/>
    <x:tableColumn id="5" name="Priority"/>
    <x:tableColumn id="6" name="Suite Membership"/>
    <x:tableColumn id="7" name="Status"/>
    <x:tableColumn id="8" name="Actual Result"/>
    <x:tableColumn id="9" name="Evidence Path"/>
    <x:tableColumn id="10" name="Bug ID"/>
    <x:tableColumn id="11" name="Executed By"/>
    <x:tableColumn id="12" name="Executed Dat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b0a48e6bbf48ac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8" customHeight="1">
      <x:c r="A1" s="14" t="str">
        <x:v>ORANGEHRM LOGIN — REGRESSION EXECUTION DASHBOARD</x:v>
      </x:c>
      <x:c r="B1" s="14"/>
      <x:c r="C1" s="14"/>
      <x:c r="D1" s="14"/>
      <x:c r="E1" s="14"/>
      <x:c r="F1" s="14"/>
    </x:row>
    <x:row r="3">
      <x:c r="A3" s="23" t="str">
        <x:v>Run ID</x:v>
      </x:c>
      <x:c r="B3" t="str">
        <x:v>REG-YYYY-MM-DD-01</x:v>
      </x:c>
    </x:row>
    <x:row r="4">
      <x:c r="A4" s="23" t="str">
        <x:v>Build / Version</x:v>
      </x:c>
      <x:c r="B4" t="str">
        <x:v>Enter build / release</x:v>
      </x:c>
    </x:row>
    <x:row r="5">
      <x:c r="A5" s="23" t="str">
        <x:v>Environment</x:v>
      </x:c>
      <x:c r="B5" t="str">
        <x:v>OrangeHRM Demo</x:v>
      </x:c>
    </x:row>
    <x:row r="6">
      <x:c r="A6" s="23" t="str">
        <x:v>Browser / Version</x:v>
      </x:c>
      <x:c r="B6" t="str">
        <x:v>Enter browser/version</x:v>
      </x:c>
    </x:row>
    <x:row r="7">
      <x:c r="A7" s="23" t="str">
        <x:v>Tester</x:v>
      </x:c>
      <x:c r="B7" t="str">
        <x:v>Enter tester</x:v>
      </x:c>
    </x:row>
    <x:row r="8">
      <x:c r="A8" s="23" t="str">
        <x:v>Run Date</x:v>
      </x:c>
      <x:c r="B8" t="str">
        <x:v>Enter date</x:v>
      </x:c>
    </x:row>
    <x:row r="9">
      <x:c r="A9" s="23" t="str">
        <x:v>Suite Tier</x:v>
      </x:c>
      <x:c r="B9" t="str">
        <x:v>Full</x:v>
      </x:c>
    </x:row>
    <x:row r="11">
      <x:c r="A11" s="19" t="str">
        <x:v>Metric</x:v>
      </x:c>
      <x:c r="B11" s="19" t="str">
        <x:v>Value</x:v>
      </x:c>
    </x:row>
    <x:row r="12">
      <x:c r="A12" t="str">
        <x:v>Total Test Cases</x:v>
      </x:c>
      <x:c r="B12" t="n">
        <x:f>COUNTA(Cases!A2:A33)</x:f>
        <x:v>32</x:v>
      </x:c>
    </x:row>
    <x:row r="13">
      <x:c r="A13" t="str">
        <x:v>Pass</x:v>
      </x:c>
      <x:c r="B13" t="n">
        <x:f>COUNTIF(Cases!G2:G33,"Pass")</x:f>
        <x:v>0</x:v>
      </x:c>
    </x:row>
    <x:row r="14">
      <x:c r="A14" t="str">
        <x:v>Fail</x:v>
      </x:c>
      <x:c r="B14" t="n">
        <x:f>COUNTIF(Cases!G2:G33,"Fail")</x:f>
        <x:v>0</x:v>
      </x:c>
    </x:row>
    <x:row r="15">
      <x:c r="A15" t="str">
        <x:v>Blocked</x:v>
      </x:c>
      <x:c r="B15" t="n">
        <x:f>COUNTIF(Cases!G2:G33,"Blocked")</x:f>
        <x:v>0</x:v>
      </x:c>
    </x:row>
    <x:row r="16">
      <x:c r="A16" t="str">
        <x:v>Not Applicable</x:v>
      </x:c>
      <x:c r="B16" t="n">
        <x:f>COUNTIF(Cases!G2:G33,"Not Applicable")</x:f>
        <x:v>0</x:v>
      </x:c>
    </x:row>
    <x:row r="17">
      <x:c r="A17" t="str">
        <x:v>Not Executed</x:v>
      </x:c>
      <x:c r="B17" t="n">
        <x:f>COUNTIF(Cases!G2:G33,"Not Executed")</x:f>
        <x:v>32</x:v>
      </x:c>
    </x:row>
    <x:row r="18">
      <x:c r="A18" t="str">
        <x:v>Execution %</x:v>
      </x:c>
      <x:c r="B18" s="16" t="n">
        <x:f>IF(B12=0,0,(B13+B14+B15+B16)/B12)</x:f>
        <x:v>0</x:v>
      </x:c>
    </x:row>
    <x:row r="20" ht="32" customHeight="1">
      <x:c r="A20" s="27" t="str">
        <x:v>Note: Dashboard summarizes all 32 cases; filter Cases sheet for Smoke or Critical runs.</x:v>
      </x:c>
      <x:c r="B20" s="27"/>
      <x:c r="C20" s="27"/>
      <x:c r="D20" s="27"/>
      <x:c r="E20" s="27"/>
      <x:c r="F20" s="27"/>
    </x:row>
  </x:sheetData>
  <x:mergeCells>
    <x:mergeCell ref="A1:F1"/>
    <x:mergeCell ref="A20:F20"/>
  </x:mergeCells>
  <x:dataValidations count="1">
    <x:dataValidation type="list" sqref="B9">
      <x:formula1>"Smoke,Critical,Full"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0" hidden="0" customWidth="1"/>
    <x:col min="4" max="4" width="39" hidden="0" customWidth="1"/>
    <x:col min="5" max="5" width="14" hidden="0" customWidth="1"/>
    <x:col min="6" max="6" width="28" hidden="0" customWidth="1"/>
    <x:col min="7" max="7" width="19" hidden="0" customWidth="1"/>
    <x:col min="8" max="8" width="38" hidden="0" customWidth="1"/>
    <x:col min="9" max="9" width="31" hidden="0" customWidth="1"/>
    <x:col min="10" max="10" width="22" hidden="0" customWidth="1"/>
    <x:col min="11" max="11" width="19" hidden="0" customWidth="1"/>
    <x:col min="12" max="12" width="19" hidden="0" customWidth="1"/>
    <x:col min="13" max="13" width="38" hidden="0" customWidth="1"/>
  </x:cols>
  <x:sheetData>
    <x:row r="1" ht="32" customHeight="1">
      <x:c r="A1" s="5" t="str">
        <x:v>Test Case ID</x:v>
      </x:c>
      <x:c r="B1" s="5" t="str">
        <x:v>Scenario ID</x:v>
      </x:c>
      <x:c r="C1" s="5" t="str">
        <x:v>Requirement ID</x:v>
      </x:c>
      <x:c r="D1" s="5" t="str">
        <x:v>Test Description</x:v>
      </x:c>
      <x:c r="E1" s="5" t="str">
        <x:v>Priority</x:v>
      </x:c>
      <x:c r="F1" s="5" t="str">
        <x:v>Suite Membership</x:v>
      </x:c>
      <x:c r="G1" s="5" t="str">
        <x:v>Status</x:v>
      </x:c>
      <x:c r="H1" s="5" t="str">
        <x:v>Actual Result</x:v>
      </x:c>
      <x:c r="I1" s="5" t="str">
        <x:v>Evidence Path</x:v>
      </x:c>
      <x:c r="J1" s="5" t="str">
        <x:v>Bug ID</x:v>
      </x:c>
      <x:c r="K1" s="5" t="str">
        <x:v>Executed By</x:v>
      </x:c>
      <x:c r="L1" s="5" t="str">
        <x:v>Executed Date</x:v>
      </x:c>
      <x:c r="M1" s="5" t="str">
        <x:v>Notes</x:v>
      </x:c>
    </x:row>
    <x:row r="2" ht="30" customHeight="1">
      <x:c r="A2" s="10" t="str">
        <x:v>ORG-TC-LOGIN-001</x:v>
      </x:c>
      <x:c r="B2" s="10" t="str">
        <x:v>ORG-TS-LOGIN-001</x:v>
      </x:c>
      <x:c r="C2" s="10" t="str">
        <x:v>ORG-FR-LOGIN-001</x:v>
      </x:c>
      <x:c r="D2" s="10" t="str">
        <x:v>Login page controls</x:v>
      </x:c>
      <x:c r="E2" s="10" t="str">
        <x:v>High</x:v>
      </x:c>
      <x:c r="F2" s="10" t="str">
        <x:v>Smoke + Full</x:v>
      </x:c>
      <x:c r="G2" s="10" t="str">
        <x:v>Not Executed</x:v>
      </x:c>
      <x:c r="H2" s="10" t="str"/>
      <x:c r="I2" s="10" t="str"/>
      <x:c r="J2" s="10" t="str"/>
      <x:c r="K2" s="10" t="str"/>
      <x:c r="L2" s="12" t="str"/>
      <x:c r="M2" s="10" t="str"/>
    </x:row>
    <x:row r="3" ht="30" customHeight="1">
      <x:c r="A3" s="10" t="str">
        <x:v>ORG-TC-LOGIN-002</x:v>
      </x:c>
      <x:c r="B3" s="10" t="str">
        <x:v>ORG-TS-LOGIN-002</x:v>
      </x:c>
      <x:c r="C3" s="10" t="str">
        <x:v>ORG-FR-LOGIN-002</x:v>
      </x:c>
      <x:c r="D3" s="10" t="str">
        <x:v>Valid login</x:v>
      </x:c>
      <x:c r="E3" s="10" t="str">
        <x:v>Critical</x:v>
      </x:c>
      <x:c r="F3" s="10" t="str">
        <x:v>Smoke + Critical + Full</x:v>
      </x:c>
      <x:c r="G3" s="10" t="str">
        <x:v>Not Executed</x:v>
      </x:c>
      <x:c r="H3" s="10" t="str"/>
      <x:c r="I3" s="10" t="str"/>
      <x:c r="J3" s="10" t="str"/>
      <x:c r="K3" s="10" t="str"/>
      <x:c r="L3" s="12" t="str"/>
      <x:c r="M3" s="10" t="str"/>
    </x:row>
    <x:row r="4" ht="30" customHeight="1">
      <x:c r="A4" s="10" t="str">
        <x:v>ORG-TC-LOGIN-003</x:v>
      </x:c>
      <x:c r="B4" s="10" t="str">
        <x:v>ORG-TS-LOGIN-003</x:v>
      </x:c>
      <x:c r="C4" s="10" t="str">
        <x:v>ORG-FR-LOGIN-003</x:v>
      </x:c>
      <x:c r="D4" s="10" t="str">
        <x:v>Invalid username with valid password</x:v>
      </x:c>
      <x:c r="E4" s="10" t="str">
        <x:v>Critical</x:v>
      </x:c>
      <x:c r="F4" s="10" t="str">
        <x:v>Critical + Full</x:v>
      </x:c>
      <x:c r="G4" s="10" t="str">
        <x:v>Not Executed</x:v>
      </x:c>
      <x:c r="H4" s="10" t="str"/>
      <x:c r="I4" s="10" t="str"/>
      <x:c r="J4" s="10" t="str"/>
      <x:c r="K4" s="10" t="str"/>
      <x:c r="L4" s="12" t="str"/>
      <x:c r="M4" s="10" t="str"/>
    </x:row>
    <x:row r="5" ht="30" customHeight="1">
      <x:c r="A5" s="10" t="str">
        <x:v>ORG-TC-LOGIN-004</x:v>
      </x:c>
      <x:c r="B5" s="10" t="str">
        <x:v>ORG-TS-LOGIN-004</x:v>
      </x:c>
      <x:c r="C5" s="10" t="str">
        <x:v>ORG-FR-LOGIN-004</x:v>
      </x:c>
      <x:c r="D5" s="10" t="str">
        <x:v>Valid username with invalid password</x:v>
      </x:c>
      <x:c r="E5" s="10" t="str">
        <x:v>Critical</x:v>
      </x:c>
      <x:c r="F5" s="10" t="str">
        <x:v>Critical + Full</x:v>
      </x:c>
      <x:c r="G5" s="10" t="str">
        <x:v>Not Executed</x:v>
      </x:c>
      <x:c r="H5" s="10" t="str"/>
      <x:c r="I5" s="10" t="str"/>
      <x:c r="J5" s="10" t="str"/>
      <x:c r="K5" s="10" t="str"/>
      <x:c r="L5" s="12" t="str"/>
      <x:c r="M5" s="10" t="str"/>
    </x:row>
    <x:row r="6" ht="30" customHeight="1">
      <x:c r="A6" s="10" t="str">
        <x:v>ORG-TC-LOGIN-005</x:v>
      </x:c>
      <x:c r="B6" s="10" t="str">
        <x:v>ORG-TS-LOGIN-005</x:v>
      </x:c>
      <x:c r="C6" s="10" t="str">
        <x:v>ORG-FR-LOGIN-005</x:v>
      </x:c>
      <x:c r="D6" s="10" t="str">
        <x:v>Both credentials invalid</x:v>
      </x:c>
      <x:c r="E6" s="10" t="str">
        <x:v>Critical</x:v>
      </x:c>
      <x:c r="F6" s="10" t="str">
        <x:v>Critical + Full</x:v>
      </x:c>
      <x:c r="G6" s="10" t="str">
        <x:v>Not Executed</x:v>
      </x:c>
      <x:c r="H6" s="10" t="str"/>
      <x:c r="I6" s="10" t="str"/>
      <x:c r="J6" s="10" t="str"/>
      <x:c r="K6" s="10" t="str"/>
      <x:c r="L6" s="12" t="str"/>
      <x:c r="M6" s="10" t="str"/>
    </x:row>
    <x:row r="7" ht="30" customHeight="1">
      <x:c r="A7" s="10" t="str">
        <x:v>ORG-TC-LOGIN-006</x:v>
      </x:c>
      <x:c r="B7" s="10" t="str">
        <x:v>ORG-TS-LOGIN-006</x:v>
      </x:c>
      <x:c r="C7" s="10" t="str">
        <x:v>ORG-FR-LOGIN-006</x:v>
      </x:c>
      <x:c r="D7" s="10" t="str">
        <x:v>Empty username</x:v>
      </x:c>
      <x:c r="E7" s="10" t="str">
        <x:v>Critical</x:v>
      </x:c>
      <x:c r="F7" s="10" t="str">
        <x:v>Smoke + Critical + Full</x:v>
      </x:c>
      <x:c r="G7" s="10" t="str">
        <x:v>Not Executed</x:v>
      </x:c>
      <x:c r="H7" s="10" t="str"/>
      <x:c r="I7" s="10" t="str"/>
      <x:c r="J7" s="10" t="str"/>
      <x:c r="K7" s="10" t="str"/>
      <x:c r="L7" s="12" t="str"/>
      <x:c r="M7" s="10" t="str"/>
    </x:row>
    <x:row r="8" ht="30" customHeight="1">
      <x:c r="A8" s="10" t="str">
        <x:v>ORG-TC-LOGIN-007</x:v>
      </x:c>
      <x:c r="B8" s="10" t="str">
        <x:v>ORG-TS-LOGIN-007</x:v>
      </x:c>
      <x:c r="C8" s="10" t="str">
        <x:v>ORG-FR-LOGIN-007</x:v>
      </x:c>
      <x:c r="D8" s="10" t="str">
        <x:v>Empty password</x:v>
      </x:c>
      <x:c r="E8" s="10" t="str">
        <x:v>Critical</x:v>
      </x:c>
      <x:c r="F8" s="10" t="str">
        <x:v>Smoke + Critical + Full</x:v>
      </x:c>
      <x:c r="G8" s="10" t="str">
        <x:v>Not Executed</x:v>
      </x:c>
      <x:c r="H8" s="10" t="str"/>
      <x:c r="I8" s="10" t="str"/>
      <x:c r="J8" s="10" t="str"/>
      <x:c r="K8" s="10" t="str"/>
      <x:c r="L8" s="12" t="str"/>
      <x:c r="M8" s="10" t="str"/>
    </x:row>
    <x:row r="9" ht="30" customHeight="1">
      <x:c r="A9" s="10" t="str">
        <x:v>ORG-TC-LOGIN-008</x:v>
      </x:c>
      <x:c r="B9" s="10" t="str">
        <x:v>ORG-TS-LOGIN-008</x:v>
      </x:c>
      <x:c r="C9" s="10" t="str">
        <x:v>ORG-FR-LOGIN-008</x:v>
      </x:c>
      <x:c r="D9" s="10" t="str">
        <x:v>Both fields empty</x:v>
      </x:c>
      <x:c r="E9" s="10" t="str">
        <x:v>Critical</x:v>
      </x:c>
      <x:c r="F9" s="10" t="str">
        <x:v>Smoke + Critical + Full</x:v>
      </x:c>
      <x:c r="G9" s="10" t="str">
        <x:v>Not Executed</x:v>
      </x:c>
      <x:c r="H9" s="10" t="str"/>
      <x:c r="I9" s="10" t="str"/>
      <x:c r="J9" s="10" t="str"/>
      <x:c r="K9" s="10" t="str"/>
      <x:c r="L9" s="12" t="str"/>
      <x:c r="M9" s="10" t="str"/>
    </x:row>
    <x:row r="10" ht="30" customHeight="1">
      <x:c r="A10" s="10" t="str">
        <x:v>ORG-TC-LOGIN-009</x:v>
      </x:c>
      <x:c r="B10" s="10" t="str">
        <x:v>ORG-TS-LOGIN-009</x:v>
      </x:c>
      <x:c r="C10" s="10" t="str">
        <x:v>ORG-FR-LOGIN-009</x:v>
      </x:c>
      <x:c r="D10" s="10" t="str">
        <x:v>Password masking</x:v>
      </x:c>
      <x:c r="E10" s="10" t="str">
        <x:v>Medium</x:v>
      </x:c>
      <x:c r="F10" s="10" t="str">
        <x:v>Full only</x:v>
      </x:c>
      <x:c r="G10" s="10" t="str">
        <x:v>Not Executed</x:v>
      </x:c>
      <x:c r="H10" s="10" t="str"/>
      <x:c r="I10" s="10" t="str"/>
      <x:c r="J10" s="10" t="str"/>
      <x:c r="K10" s="10" t="str"/>
      <x:c r="L10" s="12" t="str"/>
      <x:c r="M10" s="10" t="str"/>
    </x:row>
    <x:row r="11" ht="30" customHeight="1">
      <x:c r="A11" s="10" t="str">
        <x:v>ORG-TC-LOGIN-010</x:v>
      </x:c>
      <x:c r="B11" s="10" t="str">
        <x:v>ORG-TS-LOGIN-010</x:v>
      </x:c>
      <x:c r="C11" s="10" t="str">
        <x:v>ORG-FR-LOGIN-010</x:v>
      </x:c>
      <x:c r="D11" s="10" t="str">
        <x:v>Invalid credentials error</x:v>
      </x:c>
      <x:c r="E11" s="10" t="str">
        <x:v>Critical</x:v>
      </x:c>
      <x:c r="F11" s="10" t="str">
        <x:v>Critical + Full</x:v>
      </x:c>
      <x:c r="G11" s="10" t="str">
        <x:v>Not Executed</x:v>
      </x:c>
      <x:c r="H11" s="10" t="str"/>
      <x:c r="I11" s="10" t="str"/>
      <x:c r="J11" s="10" t="str"/>
      <x:c r="K11" s="10" t="str"/>
      <x:c r="L11" s="12" t="str"/>
      <x:c r="M11" s="10" t="str"/>
    </x:row>
    <x:row r="12" ht="30" customHeight="1">
      <x:c r="A12" s="10" t="str">
        <x:v>ORG-TC-LOGIN-011</x:v>
      </x:c>
      <x:c r="B12" s="10" t="str">
        <x:v>ORG-TS-LOGIN-011</x:v>
      </x:c>
      <x:c r="C12" s="10" t="str">
        <x:v>ORG-FR-LOGIN-011</x:v>
      </x:c>
      <x:c r="D12" s="10" t="str">
        <x:v>Post-login navigation</x:v>
      </x:c>
      <x:c r="E12" s="10" t="str">
        <x:v>Critical</x:v>
      </x:c>
      <x:c r="F12" s="10" t="str">
        <x:v>Smoke + Critical + Full</x:v>
      </x:c>
      <x:c r="G12" s="10" t="str">
        <x:v>Not Executed</x:v>
      </x:c>
      <x:c r="H12" s="10" t="str"/>
      <x:c r="I12" s="10" t="str"/>
      <x:c r="J12" s="10" t="str"/>
      <x:c r="K12" s="10" t="str"/>
      <x:c r="L12" s="12" t="str"/>
      <x:c r="M12" s="10" t="str"/>
    </x:row>
    <x:row r="13" ht="30" customHeight="1">
      <x:c r="A13" s="10" t="str">
        <x:v>ORG-TC-LOGIN-012</x:v>
      </x:c>
      <x:c r="B13" s="10" t="str">
        <x:v>ORG-TS-LOGIN-012</x:v>
      </x:c>
      <x:c r="C13" s="10" t="str">
        <x:v>ORG-FR-LOGIN-012</x:v>
      </x:c>
      <x:c r="D13" s="10" t="str">
        <x:v>Forgot Password link</x:v>
      </x:c>
      <x:c r="E13" s="10" t="str">
        <x:v>High</x:v>
      </x:c>
      <x:c r="F13" s="10" t="str">
        <x:v>Smoke + Full</x:v>
      </x:c>
      <x:c r="G13" s="10" t="str">
        <x:v>Not Executed</x:v>
      </x:c>
      <x:c r="H13" s="10" t="str"/>
      <x:c r="I13" s="10" t="str"/>
      <x:c r="J13" s="10" t="str"/>
      <x:c r="K13" s="10" t="str"/>
      <x:c r="L13" s="12" t="str"/>
      <x:c r="M13" s="10" t="str"/>
    </x:row>
    <x:row r="14" ht="30" customHeight="1">
      <x:c r="A14" s="10" t="str">
        <x:v>ORG-TC-LOGIN-013</x:v>
      </x:c>
      <x:c r="B14" s="10" t="str">
        <x:v>ORG-TS-LOGIN-013</x:v>
      </x:c>
      <x:c r="C14" s="10" t="str">
        <x:v>ORG-FR-LOGIN-013</x:v>
      </x:c>
      <x:c r="D14" s="10" t="str">
        <x:v>Forgot Password navigation</x:v>
      </x:c>
      <x:c r="E14" s="10" t="str">
        <x:v>High</x:v>
      </x:c>
      <x:c r="F14" s="10" t="str">
        <x:v>Smoke + Full</x:v>
      </x:c>
      <x:c r="G14" s="10" t="str">
        <x:v>Not Executed</x:v>
      </x:c>
      <x:c r="H14" s="10" t="str"/>
      <x:c r="I14" s="10" t="str"/>
      <x:c r="J14" s="10" t="str"/>
      <x:c r="K14" s="10" t="str"/>
      <x:c r="L14" s="12" t="str"/>
      <x:c r="M14" s="10" t="str"/>
    </x:row>
    <x:row r="15" ht="30" customHeight="1">
      <x:c r="A15" s="10" t="str">
        <x:v>ORG-TC-LOGIN-014</x:v>
      </x:c>
      <x:c r="B15" s="10" t="str">
        <x:v>ORG-TS-LOGIN-014</x:v>
      </x:c>
      <x:c r="C15" s="10" t="str">
        <x:v>ORG-FR-LOGIN-014</x:v>
      </x:c>
      <x:c r="D15" s="10" t="str">
        <x:v>Protected URL without login</x:v>
      </x:c>
      <x:c r="E15" s="10" t="str">
        <x:v>Critical</x:v>
      </x:c>
      <x:c r="F15" s="10" t="str">
        <x:v>Critical + Full</x:v>
      </x:c>
      <x:c r="G15" s="10" t="str">
        <x:v>Not Executed</x:v>
      </x:c>
      <x:c r="H15" s="10" t="str"/>
      <x:c r="I15" s="10" t="str"/>
      <x:c r="J15" s="10" t="str"/>
      <x:c r="K15" s="10" t="str"/>
      <x:c r="L15" s="12" t="str"/>
      <x:c r="M15" s="10" t="str"/>
    </x:row>
    <x:row r="16" ht="30" customHeight="1">
      <x:c r="A16" s="10" t="str">
        <x:v>ORG-TC-LOGIN-015</x:v>
      </x:c>
      <x:c r="B16" s="10" t="str">
        <x:v>ORG-TS-LOGIN-015</x:v>
      </x:c>
      <x:c r="C16" s="10" t="str">
        <x:v>ORG-FR-LOGIN-015</x:v>
      </x:c>
      <x:c r="D16" s="10" t="str">
        <x:v>Logout invalidates session</x:v>
      </x:c>
      <x:c r="E16" s="10" t="str">
        <x:v>Critical</x:v>
      </x:c>
      <x:c r="F16" s="10" t="str">
        <x:v>Smoke + Critical + Full</x:v>
      </x:c>
      <x:c r="G16" s="10" t="str">
        <x:v>Not Executed</x:v>
      </x:c>
      <x:c r="H16" s="10" t="str"/>
      <x:c r="I16" s="10" t="str"/>
      <x:c r="J16" s="10" t="str"/>
      <x:c r="K16" s="10" t="str"/>
      <x:c r="L16" s="12" t="str"/>
      <x:c r="M16" s="10" t="str"/>
    </x:row>
    <x:row r="17" ht="30" customHeight="1">
      <x:c r="A17" s="10" t="str">
        <x:v>ORG-TC-LOGIN-016</x:v>
      </x:c>
      <x:c r="B17" s="10" t="str">
        <x:v>ORG-TS-LOGIN-016</x:v>
      </x:c>
      <x:c r="C17" s="10" t="str">
        <x:v>ORG-FR-LOGIN-016</x:v>
      </x:c>
      <x:c r="D17" s="10" t="str">
        <x:v>Back navigation after logout</x:v>
      </x:c>
      <x:c r="E17" s="10" t="str">
        <x:v>Critical</x:v>
      </x:c>
      <x:c r="F17" s="10" t="str">
        <x:v>Critical + Full</x:v>
      </x:c>
      <x:c r="G17" s="10" t="str">
        <x:v>Not Executed</x:v>
      </x:c>
      <x:c r="H17" s="10" t="str"/>
      <x:c r="I17" s="10" t="str"/>
      <x:c r="J17" s="10" t="str"/>
      <x:c r="K17" s="10" t="str"/>
      <x:c r="L17" s="12" t="str"/>
      <x:c r="M17" s="10" t="str"/>
    </x:row>
    <x:row r="18" ht="30" customHeight="1">
      <x:c r="A18" s="10" t="str">
        <x:v>ORG-TC-LOGIN-017</x:v>
      </x:c>
      <x:c r="B18" s="10" t="str">
        <x:v>ORG-TS-LOGIN-017</x:v>
      </x:c>
      <x:c r="C18" s="10" t="str">
        <x:v>ORG-FR-LOGIN-017</x:v>
      </x:c>
      <x:c r="D18" s="10" t="str">
        <x:v>Failed login does not establish session</x:v>
      </x:c>
      <x:c r="E18" s="10" t="str">
        <x:v>Critical</x:v>
      </x:c>
      <x:c r="F18" s="10" t="str">
        <x:v>Critical + Full</x:v>
      </x:c>
      <x:c r="G18" s="10" t="str">
        <x:v>Not Executed</x:v>
      </x:c>
      <x:c r="H18" s="10" t="str"/>
      <x:c r="I18" s="10" t="str"/>
      <x:c r="J18" s="10" t="str"/>
      <x:c r="K18" s="10" t="str"/>
      <x:c r="L18" s="12" t="str"/>
      <x:c r="M18" s="10" t="str"/>
    </x:row>
    <x:row r="19" ht="30" customHeight="1">
      <x:c r="A19" s="10" t="str">
        <x:v>ORG-TC-LOGIN-018</x:v>
      </x:c>
      <x:c r="B19" s="10" t="str">
        <x:v>ORG-TS-LOGIN-018</x:v>
      </x:c>
      <x:c r="C19" s="10" t="str">
        <x:v>Exploratory (confirm requirement)</x:v>
      </x:c>
      <x:c r="D19" s="10" t="str">
        <x:v>Username surrounding spaces</x:v>
      </x:c>
      <x:c r="E19" s="10" t="str">
        <x:v>Medium</x:v>
      </x:c>
      <x:c r="F19" s="10" t="str">
        <x:v>Full only</x:v>
      </x:c>
      <x:c r="G19" s="10" t="str">
        <x:v>Not Executed</x:v>
      </x:c>
      <x:c r="H19" s="10" t="str"/>
      <x:c r="I19" s="10" t="str"/>
      <x:c r="J19" s="10" t="str"/>
      <x:c r="K19" s="10" t="str"/>
      <x:c r="L19" s="12" t="str"/>
      <x:c r="M19" s="10" t="str"/>
    </x:row>
    <x:row r="20" ht="30" customHeight="1">
      <x:c r="A20" s="10" t="str">
        <x:v>ORG-TC-LOGIN-019</x:v>
      </x:c>
      <x:c r="B20" s="10" t="str">
        <x:v>ORG-TS-LOGIN-019</x:v>
      </x:c>
      <x:c r="C20" s="10" t="str">
        <x:v>Exploratory (confirm requirement)</x:v>
      </x:c>
      <x:c r="D20" s="10" t="str">
        <x:v>Password surrounding spaces</x:v>
      </x:c>
      <x:c r="E20" s="10" t="str">
        <x:v>Medium</x:v>
      </x:c>
      <x:c r="F20" s="10" t="str">
        <x:v>Full only</x:v>
      </x:c>
      <x:c r="G20" s="10" t="str">
        <x:v>Not Executed</x:v>
      </x:c>
      <x:c r="H20" s="10" t="str"/>
      <x:c r="I20" s="10" t="str"/>
      <x:c r="J20" s="10" t="str"/>
      <x:c r="K20" s="10" t="str"/>
      <x:c r="L20" s="12" t="str"/>
      <x:c r="M20" s="10" t="str"/>
    </x:row>
    <x:row r="21" ht="30" customHeight="1">
      <x:c r="A21" s="10" t="str">
        <x:v>ORG-TC-LOGIN-020</x:v>
      </x:c>
      <x:c r="B21" s="10" t="str">
        <x:v>ORG-TS-LOGIN-020</x:v>
      </x:c>
      <x:c r="C21" s="10" t="str">
        <x:v>Exploratory (confirm requirement)</x:v>
      </x:c>
      <x:c r="D21" s="10" t="str">
        <x:v>Username case behavior</x:v>
      </x:c>
      <x:c r="E21" s="10" t="str">
        <x:v>Medium</x:v>
      </x:c>
      <x:c r="F21" s="10" t="str">
        <x:v>Full only</x:v>
      </x:c>
      <x:c r="G21" s="10" t="str">
        <x:v>Not Executed</x:v>
      </x:c>
      <x:c r="H21" s="10" t="str"/>
      <x:c r="I21" s="10" t="str"/>
      <x:c r="J21" s="10" t="str"/>
      <x:c r="K21" s="10" t="str"/>
      <x:c r="L21" s="12" t="str"/>
      <x:c r="M21" s="10" t="str"/>
    </x:row>
    <x:row r="22" ht="30" customHeight="1">
      <x:c r="A22" s="10" t="str">
        <x:v>ORG-TC-LOGIN-021</x:v>
      </x:c>
      <x:c r="B22" s="10" t="str">
        <x:v>ORG-TS-LOGIN-021</x:v>
      </x:c>
      <x:c r="C22" s="10" t="str">
        <x:v>Exploratory (confirm requirement)</x:v>
      </x:c>
      <x:c r="D22" s="10" t="str">
        <x:v>Password case sensitivity</x:v>
      </x:c>
      <x:c r="E22" s="10" t="str">
        <x:v>Critical</x:v>
      </x:c>
      <x:c r="F22" s="10" t="str">
        <x:v>Critical + Full</x:v>
      </x:c>
      <x:c r="G22" s="10" t="str">
        <x:v>Not Executed</x:v>
      </x:c>
      <x:c r="H22" s="10" t="str"/>
      <x:c r="I22" s="10" t="str"/>
      <x:c r="J22" s="10" t="str"/>
      <x:c r="K22" s="10" t="str"/>
      <x:c r="L22" s="12" t="str"/>
      <x:c r="M22" s="10" t="str"/>
    </x:row>
    <x:row r="23" ht="30" customHeight="1">
      <x:c r="A23" s="10" t="str">
        <x:v>ORG-TC-LOGIN-022</x:v>
      </x:c>
      <x:c r="B23" s="10" t="str">
        <x:v>ORG-TS-LOGIN-022</x:v>
      </x:c>
      <x:c r="C23" s="10" t="str">
        <x:v>Exploratory (confirm requirement)</x:v>
      </x:c>
      <x:c r="D23" s="10" t="str">
        <x:v>Enter-key submission</x:v>
      </x:c>
      <x:c r="E23" s="10" t="str">
        <x:v>Medium</x:v>
      </x:c>
      <x:c r="F23" s="10" t="str">
        <x:v>Full only</x:v>
      </x:c>
      <x:c r="G23" s="10" t="str">
        <x:v>Not Executed</x:v>
      </x:c>
      <x:c r="H23" s="10" t="str"/>
      <x:c r="I23" s="10" t="str"/>
      <x:c r="J23" s="10" t="str"/>
      <x:c r="K23" s="10" t="str"/>
      <x:c r="L23" s="12" t="str"/>
      <x:c r="M23" s="10" t="str"/>
    </x:row>
    <x:row r="24" ht="30" customHeight="1">
      <x:c r="A24" s="10" t="str">
        <x:v>ORG-TC-LOGIN-023</x:v>
      </x:c>
      <x:c r="B24" s="10" t="str">
        <x:v>ORG-TS-LOGIN-023</x:v>
      </x:c>
      <x:c r="C24" s="10" t="str">
        <x:v>Exploratory (confirm requirement)</x:v>
      </x:c>
      <x:c r="D24" s="10" t="str">
        <x:v>Responsive login UI</x:v>
      </x:c>
      <x:c r="E24" s="10" t="str">
        <x:v>Medium</x:v>
      </x:c>
      <x:c r="F24" s="10" t="str">
        <x:v>Full only</x:v>
      </x:c>
      <x:c r="G24" s="10" t="str">
        <x:v>Not Executed</x:v>
      </x:c>
      <x:c r="H24" s="10" t="str"/>
      <x:c r="I24" s="10" t="str"/>
      <x:c r="J24" s="10" t="str"/>
      <x:c r="K24" s="10" t="str"/>
      <x:c r="L24" s="12" t="str"/>
      <x:c r="M24" s="10" t="str"/>
    </x:row>
    <x:row r="25" ht="30" customHeight="1">
      <x:c r="A25" s="10" t="str">
        <x:v>ORG-TC-LOGIN-024</x:v>
      </x:c>
      <x:c r="B25" s="10" t="str">
        <x:v>ORG-TS-LOGIN-024</x:v>
      </x:c>
      <x:c r="C25" s="10" t="str">
        <x:v>Exploratory (confirm requirement)</x:v>
      </x:c>
      <x:c r="D25" s="10" t="str">
        <x:v>Refresh login page</x:v>
      </x:c>
      <x:c r="E25" s="10" t="str">
        <x:v>Medium</x:v>
      </x:c>
      <x:c r="F25" s="10" t="str">
        <x:v>Full only</x:v>
      </x:c>
      <x:c r="G25" s="10" t="str">
        <x:v>Not Executed</x:v>
      </x:c>
      <x:c r="H25" s="10" t="str"/>
      <x:c r="I25" s="10" t="str"/>
      <x:c r="J25" s="10" t="str"/>
      <x:c r="K25" s="10" t="str"/>
      <x:c r="L25" s="12" t="str"/>
      <x:c r="M25" s="10" t="str"/>
    </x:row>
    <x:row r="26" ht="30" customHeight="1">
      <x:c r="A26" s="10" t="str">
        <x:v>ORG-TC-LOGIN-025</x:v>
      </x:c>
      <x:c r="B26" s="10" t="str">
        <x:v>ORG-TS-LOGIN-025</x:v>
      </x:c>
      <x:c r="C26" s="10" t="str">
        <x:v>Exploratory (confirm requirement)</x:v>
      </x:c>
      <x:c r="D26" s="10" t="str">
        <x:v>Long username</x:v>
      </x:c>
      <x:c r="E26" s="10" t="str">
        <x:v>Medium</x:v>
      </x:c>
      <x:c r="F26" s="10" t="str">
        <x:v>Full only</x:v>
      </x:c>
      <x:c r="G26" s="10" t="str">
        <x:v>Not Executed</x:v>
      </x:c>
      <x:c r="H26" s="10" t="str"/>
      <x:c r="I26" s="10" t="str"/>
      <x:c r="J26" s="10" t="str"/>
      <x:c r="K26" s="10" t="str"/>
      <x:c r="L26" s="12" t="str"/>
      <x:c r="M26" s="10" t="str"/>
    </x:row>
    <x:row r="27" ht="30" customHeight="1">
      <x:c r="A27" s="10" t="str">
        <x:v>ORG-TC-LOGIN-026</x:v>
      </x:c>
      <x:c r="B27" s="10" t="str">
        <x:v>ORG-TS-LOGIN-026</x:v>
      </x:c>
      <x:c r="C27" s="10" t="str">
        <x:v>Exploratory (confirm requirement)</x:v>
      </x:c>
      <x:c r="D27" s="10" t="str">
        <x:v>Long password</x:v>
      </x:c>
      <x:c r="E27" s="10" t="str">
        <x:v>Medium</x:v>
      </x:c>
      <x:c r="F27" s="10" t="str">
        <x:v>Full only</x:v>
      </x:c>
      <x:c r="G27" s="10" t="str">
        <x:v>Not Executed</x:v>
      </x:c>
      <x:c r="H27" s="10" t="str"/>
      <x:c r="I27" s="10" t="str"/>
      <x:c r="J27" s="10" t="str"/>
      <x:c r="K27" s="10" t="str"/>
      <x:c r="L27" s="12" t="str"/>
      <x:c r="M27" s="10" t="str"/>
    </x:row>
    <x:row r="28" ht="30" customHeight="1">
      <x:c r="A28" s="10" t="str">
        <x:v>ORG-TC-LOGIN-027</x:v>
      </x:c>
      <x:c r="B28" s="10" t="str">
        <x:v>ORG-TS-LOGIN-027</x:v>
      </x:c>
      <x:c r="C28" s="10" t="str">
        <x:v>ORG-NFR-LOGIN-001</x:v>
      </x:c>
      <x:c r="D28" s="10" t="str">
        <x:v>HTTPS authentication</x:v>
      </x:c>
      <x:c r="E28" s="10" t="str">
        <x:v>Critical</x:v>
      </x:c>
      <x:c r="F28" s="10" t="str">
        <x:v>Critical + Full</x:v>
      </x:c>
      <x:c r="G28" s="10" t="str">
        <x:v>Not Executed</x:v>
      </x:c>
      <x:c r="H28" s="10" t="str"/>
      <x:c r="I28" s="10" t="str"/>
      <x:c r="J28" s="10" t="str"/>
      <x:c r="K28" s="10" t="str"/>
      <x:c r="L28" s="12" t="str"/>
      <x:c r="M28" s="10" t="str"/>
    </x:row>
    <x:row r="29" ht="30" customHeight="1">
      <x:c r="A29" s="10" t="str">
        <x:v>ORG-TC-LOGIN-028</x:v>
      </x:c>
      <x:c r="B29" s="10" t="str">
        <x:v>ORG-TS-LOGIN-028</x:v>
      </x:c>
      <x:c r="C29" s="10" t="str">
        <x:v>ORG-NFR-LOGIN-002</x:v>
      </x:c>
      <x:c r="D29" s="10" t="str">
        <x:v>Username enumeration resistance</x:v>
      </x:c>
      <x:c r="E29" s="10" t="str">
        <x:v>Critical</x:v>
      </x:c>
      <x:c r="F29" s="10" t="str">
        <x:v>Critical + Full</x:v>
      </x:c>
      <x:c r="G29" s="10" t="str">
        <x:v>Not Executed</x:v>
      </x:c>
      <x:c r="H29" s="10" t="str"/>
      <x:c r="I29" s="10" t="str"/>
      <x:c r="J29" s="10" t="str"/>
      <x:c r="K29" s="10" t="str"/>
      <x:c r="L29" s="12" t="str"/>
      <x:c r="M29" s="10" t="str"/>
    </x:row>
    <x:row r="30" ht="30" customHeight="1">
      <x:c r="A30" s="10" t="str">
        <x:v>ORG-TC-LOGIN-029</x:v>
      </x:c>
      <x:c r="B30" s="10" t="str">
        <x:v>ORG-TS-LOGIN-029</x:v>
      </x:c>
      <x:c r="C30" s="10" t="str">
        <x:v>ORG-NFR-LOGIN-003</x:v>
      </x:c>
      <x:c r="D30" s="10" t="str">
        <x:v>Invalidated session reuse</x:v>
      </x:c>
      <x:c r="E30" s="10" t="str">
        <x:v>Critical</x:v>
      </x:c>
      <x:c r="F30" s="10" t="str">
        <x:v>Critical + Full</x:v>
      </x:c>
      <x:c r="G30" s="10" t="str">
        <x:v>Not Executed</x:v>
      </x:c>
      <x:c r="H30" s="10" t="str"/>
      <x:c r="I30" s="10" t="str"/>
      <x:c r="J30" s="10" t="str"/>
      <x:c r="K30" s="10" t="str"/>
      <x:c r="L30" s="12" t="str"/>
      <x:c r="M30" s="10" t="str"/>
    </x:row>
    <x:row r="31" ht="30" customHeight="1">
      <x:c r="A31" s="10" t="str">
        <x:v>ORG-TC-LOGIN-030</x:v>
      </x:c>
      <x:c r="B31" s="10" t="str">
        <x:v>ORG-TS-LOGIN-030</x:v>
      </x:c>
      <x:c r="C31" s="10" t="str">
        <x:v>ORG-NFR-LOGIN-004</x:v>
      </x:c>
      <x:c r="D31" s="10" t="str">
        <x:v>Keyboard accessibility</x:v>
      </x:c>
      <x:c r="E31" s="10" t="str">
        <x:v>Medium</x:v>
      </x:c>
      <x:c r="F31" s="10" t="str">
        <x:v>Full only</x:v>
      </x:c>
      <x:c r="G31" s="10" t="str">
        <x:v>Not Executed</x:v>
      </x:c>
      <x:c r="H31" s="10" t="str"/>
      <x:c r="I31" s="10" t="str"/>
      <x:c r="J31" s="10" t="str"/>
      <x:c r="K31" s="10" t="str"/>
      <x:c r="L31" s="12" t="str"/>
      <x:c r="M31" s="10" t="str"/>
    </x:row>
    <x:row r="32" ht="30" customHeight="1">
      <x:c r="A32" s="10" t="str">
        <x:v>ORG-TC-LOGIN-031</x:v>
      </x:c>
      <x:c r="B32" s="10" t="str">
        <x:v>ORG-TS-LOGIN-031</x:v>
      </x:c>
      <x:c r="C32" s="10" t="str">
        <x:v>ORG-NFR-LOGIN-005</x:v>
      </x:c>
      <x:c r="D32" s="10" t="str">
        <x:v>Browser compatibility</x:v>
      </x:c>
      <x:c r="E32" s="10" t="str">
        <x:v>Medium</x:v>
      </x:c>
      <x:c r="F32" s="10" t="str">
        <x:v>Full only</x:v>
      </x:c>
      <x:c r="G32" s="10" t="str">
        <x:v>Not Executed</x:v>
      </x:c>
      <x:c r="H32" s="10" t="str"/>
      <x:c r="I32" s="10" t="str"/>
      <x:c r="J32" s="10" t="str"/>
      <x:c r="K32" s="10" t="str"/>
      <x:c r="L32" s="12" t="str"/>
      <x:c r="M32" s="10" t="str"/>
    </x:row>
    <x:row r="33" ht="30" customHeight="1">
      <x:c r="A33" s="10" t="str">
        <x:v>ORG-TC-LOGIN-032</x:v>
      </x:c>
      <x:c r="B33" s="10" t="str">
        <x:v>ORG-TS-LOGIN-032</x:v>
      </x:c>
      <x:c r="C33" s="10" t="str">
        <x:v>ORG-NFR-LOGIN-006</x:v>
      </x:c>
      <x:c r="D33" s="10" t="str">
        <x:v>Credential-guessing policy review</x:v>
      </x:c>
      <x:c r="E33" s="10" t="str">
        <x:v>Medium</x:v>
      </x:c>
      <x:c r="F33" s="10" t="str">
        <x:v>Full only</x:v>
      </x:c>
      <x:c r="G33" s="10" t="str">
        <x:v>Not Executed</x:v>
      </x:c>
      <x:c r="H33" s="10" t="str"/>
      <x:c r="I33" s="10" t="str"/>
      <x:c r="J33" s="10" t="str"/>
      <x:c r="K33" s="10" t="str"/>
      <x:c r="L33" s="12" t="str"/>
      <x:c r="M33" s="10" t="str"/>
    </x:row>
  </x:sheetData>
  <x:conditionalFormatting sqref="G2:G33">
    <x:cfRule type="expression" dxfId="0" priority="1">
      <x:formula>G2="Pass"</x:formula>
    </x:cfRule>
    <x:cfRule type="expression" dxfId="1" priority="2">
      <x:formula>G2="Fail"</x:formula>
    </x:cfRule>
    <x:cfRule type="expression" dxfId="2" priority="3">
      <x:formula>G2="Blocked"</x:formula>
    </x:cfRule>
  </x:conditionalFormatting>
  <x:dataValidations count="1">
    <x:dataValidation type="list" sqref="G2:G33">
      <x:formula1>"Not Executed,Pass,Fail,Blocked,Not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b0a48e6bbf48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>
      <x:c r="A1" s="3" t="str">
        <x:v>HOW TO USE</x:v>
      </x:c>
      <x:c r="B1" s="3" t="str">
        <x:v>DETAILS</x:v>
      </x:c>
    </x:row>
    <x:row r="2" ht="38" customHeight="1">
      <x:c r="A2" s="10" t="str">
        <x:v>1. Choose run tier</x:v>
      </x:c>
      <x:c r="B2" s="10" t="str">
        <x:v>Dashboard B9: Smoke, Critical, or Full. Suite membership is in Cases column F.</x:v>
      </x:c>
    </x:row>
    <x:row r="3" ht="38" customHeight="1">
      <x:c r="A3" s="10" t="str">
        <x:v>2. Filter applicable cases</x:v>
      </x:c>
      <x:c r="B3" s="10" t="str">
        <x:v>Filter Cases column F to include the selected tier. Full includes all 32.</x:v>
      </x:c>
    </x:row>
    <x:row r="4" ht="38" customHeight="1">
      <x:c r="A4" s="10" t="str">
        <x:v>3. Execute original tests</x:v>
      </x:c>
      <x:c r="B4" s="10" t="str">
        <x:v>Follow steps in 03-test-cases/OrangeHRM-Login-Test-Cases.md.</x:v>
      </x:c>
    </x:row>
    <x:row r="5" ht="38" customHeight="1">
      <x:c r="A5" s="10" t="str">
        <x:v>4. Log observations</x:v>
      </x:c>
      <x:c r="B5" s="10" t="str">
        <x:v>Update Status, Actual Result, Evidence Path, Bug ID, tester and date.</x:v>
      </x:c>
    </x:row>
    <x:row r="6" ht="38" customHeight="1">
      <x:c r="A6" s="10" t="str">
        <x:v>5. Preserve evidence</x:v>
      </x:c>
      <x:c r="B6" s="10" t="str">
        <x:v>Save sanitized screenshots under 06-bug-reports/evidence/.</x:v>
      </x:c>
    </x:row>
    <x:row r="7" ht="38" customHeight="1">
      <x:c r="A7" s="10" t="str">
        <x:v>6. Open confirmed bugs</x:v>
      </x:c>
      <x:c r="B7" s="10" t="str">
        <x:v>Use bug IDs and fields: description, steps, actual, expected, severity.</x:v>
      </x:c>
    </x:row>
    <x:row r="8" ht="38" customHeight="1">
      <x:c r="A8" s="10" t="str">
        <x:v>7. Archive each run</x:v>
      </x:c>
      <x:c r="B8" s="10" t="str">
        <x:v>Save a new workbook copy per run ID, rather than overwriting history.</x:v>
      </x:c>
    </x:row>
    <x:row r="9" ht="38" customHeight="1">
      <x:c r="A9" s="10" t="str">
        <x:v>8. Interpretation</x:v>
      </x:c>
      <x:c r="B9" s="10" t="str">
        <x:v>No tests were executed when this template was created. Exploratory requirements need verification.</x:v>
      </x:c>
    </x:row>
  </x:sheetData>
  <x:pageMargins left="0.7" right="0.7" top="0.75" bottom="0.75" header="0.3" footer="0.3"/>
</x:worksheet>
</file>